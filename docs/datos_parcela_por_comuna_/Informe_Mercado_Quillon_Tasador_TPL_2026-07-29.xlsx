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3fea202ab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estra Quillón" sheetId="1" r:id="R1d0fcdd4e7be47b6"/>
    <x:sheet xmlns:r="http://schemas.openxmlformats.org/officeDocument/2006/relationships" name="Resumen" sheetId="2" r:id="Rc680a749959b4272"/>
    <x:sheet xmlns:r="http://schemas.openxmlformats.org/officeDocument/2006/relationships" name="Metodología" sheetId="3" r:id="R99427994b711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$#,##0"/>
    <x:numFmt numFmtId="202" formatCode="#,##0"/>
    <x:numFmt numFmtId="203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DE9E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1a1cddeac4b0f" /><Relationship Type="http://schemas.openxmlformats.org/officeDocument/2006/relationships/theme" Target="/xl/theme/theme1.xml" Id="R73431c1a40b845c4" /><Relationship Type="http://schemas.openxmlformats.org/officeDocument/2006/relationships/sharedStrings" Target="/xl/sharedStrings.xml" Id="Rc345f5719e9a44af" /><Relationship Type="http://schemas.openxmlformats.org/officeDocument/2006/relationships/worksheet" Target="/xl/worksheets/sheet1.xml" Id="R1d0fcdd4e7be47b6" /><Relationship Type="http://schemas.openxmlformats.org/officeDocument/2006/relationships/worksheet" Target="/xl/worksheets/sheet2.xml" Id="Rc680a749959b4272" /><Relationship Type="http://schemas.openxmlformats.org/officeDocument/2006/relationships/worksheet" Target="/xl/worksheets/sheet3.xml" Id="R99427994b7114216" /></Relationships>
</file>

<file path=xl/tables/table1.xml><?xml version="1.0" encoding="utf-8"?>
<x:table xmlns:x="http://schemas.openxmlformats.org/spreadsheetml/2006/main" id="1" name="MuestraQuillon" displayName="MuestraQuillon" ref="A1:S39" headerRowCount="1">
  <x:tableColumns count="19">
    <x:tableColumn id="1" name="Fuente"/>
    <x:tableColumn id="2" name="Título"/>
    <x:tableColumn id="3" name="Segmento"/>
    <x:tableColumn id="4" name="Precio publicado"/>
    <x:tableColumn id="5" name="Moneda"/>
    <x:tableColumn id="6" name="Precio CLP"/>
    <x:tableColumn id="7" name="Terreno m²"/>
    <x:tableColumn id="8" name="Construida m²"/>
    <x:tableColumn id="9" name="Dorm."/>
    <x:tableColumn id="10" name="Baños"/>
    <x:tableColumn id="11" name="Piscina"/>
    <x:tableColumn id="12" name="Agua"/>
    <x:tableColumn id="13" name="Electricidad"/>
    <x:tableColumn id="14" name="Sector / microzona"/>
    <x:tableColumn id="15" name="Vigente"/>
    <x:tableColumn id="16" name="Usar referencia"/>
    <x:tableColumn id="17" name="Motivo / observaciones"/>
    <x:tableColumn id="18" name="$/m² terreno"/>
    <x:tableColumn id="19" name="Fuent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53836cfbe0496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6" hidden="0" customWidth="1"/>
    <x:col min="5" max="5" width="9" hidden="0" customWidth="1"/>
    <x:col min="6" max="6" width="16" hidden="0" customWidth="1"/>
    <x:col min="7" max="7" width="12" hidden="0" customWidth="1"/>
    <x:col min="8" max="8" width="13" hidden="0" customWidth="1"/>
    <x:col min="9" max="9" width="8" hidden="0" customWidth="1"/>
    <x:col min="10" max="10" width="8" hidden="0" customWidth="1"/>
    <x:col min="11" max="11" width="11" hidden="0" customWidth="1"/>
    <x:col min="12" max="12" width="18" hidden="0" customWidth="1"/>
    <x:col min="13" max="13" width="16" hidden="0" customWidth="1"/>
    <x:col min="14" max="14" width="25" hidden="0" customWidth="1"/>
    <x:col min="15" max="15" width="10" hidden="0" customWidth="1"/>
    <x:col min="16" max="16" width="14" hidden="0" customWidth="1"/>
    <x:col min="17" max="17" width="40" hidden="0" customWidth="1"/>
    <x:col min="18" max="18" width="15" hidden="0" customWidth="1"/>
    <x:col min="19" max="19" width="42" hidden="0" customWidth="1"/>
  </x:cols>
  <x:sheetData>
    <x:row r="1">
      <x:c r="A1" s="6" t="str">
        <x:v>Fuente</x:v>
      </x:c>
      <x:c r="B1" s="6" t="str">
        <x:v>Título</x:v>
      </x:c>
      <x:c r="C1" s="6" t="str">
        <x:v>Segmento</x:v>
      </x:c>
      <x:c r="D1" s="6" t="str">
        <x:v>Precio publicado</x:v>
      </x:c>
      <x:c r="E1" s="6" t="str">
        <x:v>Moneda</x:v>
      </x:c>
      <x:c r="F1" s="6" t="str">
        <x:v>Precio CLP</x:v>
      </x:c>
      <x:c r="G1" s="6" t="str">
        <x:v>Terreno m²</x:v>
      </x:c>
      <x:c r="H1" s="6" t="str">
        <x:v>Construida m²</x:v>
      </x:c>
      <x:c r="I1" s="6" t="str">
        <x:v>Dorm.</x:v>
      </x:c>
      <x:c r="J1" s="6" t="str">
        <x:v>Baños</x:v>
      </x:c>
      <x:c r="K1" s="6" t="str">
        <x:v>Piscina</x:v>
      </x:c>
      <x:c r="L1" s="6" t="str">
        <x:v>Agua</x:v>
      </x:c>
      <x:c r="M1" s="6" t="str">
        <x:v>Electricidad</x:v>
      </x:c>
      <x:c r="N1" s="6" t="str">
        <x:v>Sector / microzona</x:v>
      </x:c>
      <x:c r="O1" s="6" t="str">
        <x:v>Vigente</x:v>
      </x:c>
      <x:c r="P1" s="6" t="str">
        <x:v>Usar referencia</x:v>
      </x:c>
      <x:c r="Q1" s="6" t="str">
        <x:v>Motivo / observaciones</x:v>
      </x:c>
      <x:c r="R1" s="6" t="str">
        <x:v>$/m² terreno</x:v>
      </x:c>
      <x:c r="S1" s="6" t="str">
        <x:v>Fuente URL</x:v>
      </x:c>
    </x:row>
    <x:row r="2">
      <x:c r="A2" s="12" t="str">
        <x:v>Portal Inmobiliario</x:v>
      </x:c>
      <x:c r="B2" s="12" t="str">
        <x:v>Parcela en Paso Hondo, límite Yumbel y Quillón</x:v>
      </x:c>
      <x:c r="C2" s="12" t="str">
        <x:v>Parcela sola</x:v>
      </x:c>
      <x:c r="D2" s="14" t="n">
        <x:v>18000000</x:v>
      </x:c>
      <x:c r="E2" s="12" t="str">
        <x:v>CLP</x:v>
      </x:c>
      <x:c r="F2" s="16" t="n">
        <x:f>IF(E2="UF",D2*Resumen!$B$4,D2)</x:f>
        <x:v>18000000</x:v>
      </x:c>
      <x:c r="G2" s="18" t="n">
        <x:v>5000</x:v>
      </x:c>
      <x:c r="H2" s="18"/>
      <x:c r="I2" s="12"/>
      <x:c r="J2" s="12"/>
      <x:c r="K2" s="12" t="str">
        <x:v>No informado</x:v>
      </x:c>
      <x:c r="L2" s="12" t="str">
        <x:v>No informado</x:v>
      </x:c>
      <x:c r="M2" s="12" t="str">
        <x:v>No informado</x:v>
      </x:c>
      <x:c r="N2" s="12" t="str">
        <x:v>Paso Hondo</x:v>
      </x:c>
      <x:c r="O2" s="12" t="str">
        <x:v>Sí</x:v>
      </x:c>
      <x:c r="P2" s="12" t="str">
        <x:v>Sí</x:v>
      </x:c>
      <x:c r="Q2" s="12" t="str">
        <x:v>Comparable rural estándar</x:v>
      </x:c>
      <x:c r="R2" s="16" t="n">
        <x:f>IFERROR(F2/G2,"")</x:f>
        <x:v>3600</x:v>
      </x:c>
      <x:c r="S2" s="12" t="str">
        <x:v>https://www.portalinmobiliario.com/venta/parcela/sin-dormitorios/quillon-nuble</x:v>
      </x:c>
    </x:row>
    <x:row r="3">
      <x:c r="A3" s="12" t="str">
        <x:v>Portal Inmobiliario</x:v>
      </x:c>
      <x:c r="B3" s="12" t="str">
        <x:v>Parcela 5.000 mts, límite Yumbel y Quillón</x:v>
      </x:c>
      <x:c r="C3" s="12" t="str">
        <x:v>Parcela sola</x:v>
      </x:c>
      <x:c r="D3" s="14" t="n">
        <x:v>25000000</x:v>
      </x:c>
      <x:c r="E3" s="12" t="str">
        <x:v>CLP</x:v>
      </x:c>
      <x:c r="F3" s="16" t="n">
        <x:f>IF(E3="UF",D3*Resumen!$B$4,D3)</x:f>
        <x:v>25000000</x:v>
      </x:c>
      <x:c r="G3" s="18" t="n">
        <x:v>5000</x:v>
      </x:c>
      <x:c r="H3" s="18"/>
      <x:c r="I3" s="12"/>
      <x:c r="J3" s="12"/>
      <x:c r="K3" s="12" t="str">
        <x:v>No informado</x:v>
      </x:c>
      <x:c r="L3" s="12" t="str">
        <x:v>No informado</x:v>
      </x:c>
      <x:c r="M3" s="12" t="str">
        <x:v>No informado</x:v>
      </x:c>
      <x:c r="N3" s="12" t="str">
        <x:v>Paso Hondo</x:v>
      </x:c>
      <x:c r="O3" s="12" t="str">
        <x:v>Sí</x:v>
      </x:c>
      <x:c r="P3" s="12" t="str">
        <x:v>Sí</x:v>
      </x:c>
      <x:c r="Q3" s="12" t="str">
        <x:v>Comparable rural estándar; se omitieron repeticiones idénticas</x:v>
      </x:c>
      <x:c r="R3" s="16" t="n">
        <x:f>IFERROR(F3/G3,"")</x:f>
        <x:v>5000</x:v>
      </x:c>
      <x:c r="S3" s="12" t="str">
        <x:v>https://www.portalinmobiliario.com/venta/parcela/sin-dormitorios/quillon-nuble</x:v>
      </x:c>
    </x:row>
    <x:row r="4">
      <x:c r="A4" s="12" t="str">
        <x:v>Portal Inmobiliario</x:v>
      </x:c>
      <x:c r="B4" s="12" t="str">
        <x:v>Parcela de 5000m2 en Portal Quillón</x:v>
      </x:c>
      <x:c r="C4" s="12" t="str">
        <x:v>Parcela sola</x:v>
      </x:c>
      <x:c r="D4" s="14" t="n">
        <x:v>31990000</x:v>
      </x:c>
      <x:c r="E4" s="12" t="str">
        <x:v>CLP</x:v>
      </x:c>
      <x:c r="F4" s="16" t="n">
        <x:f>IF(E4="UF",D4*Resumen!$B$4,D4)</x:f>
        <x:v>31990000</x:v>
      </x:c>
      <x:c r="G4" s="18" t="n">
        <x:v>5000</x:v>
      </x:c>
      <x:c r="H4" s="18"/>
      <x:c r="I4" s="12"/>
      <x:c r="J4" s="12"/>
      <x:c r="K4" s="12" t="str">
        <x:v>No informado</x:v>
      </x:c>
      <x:c r="L4" s="12" t="str">
        <x:v>No informado</x:v>
      </x:c>
      <x:c r="M4" s="12" t="str">
        <x:v>No informado</x:v>
      </x:c>
      <x:c r="N4" s="12" t="str">
        <x:v>Quillón</x:v>
      </x:c>
      <x:c r="O4" s="12" t="str">
        <x:v>Sí</x:v>
      </x:c>
      <x:c r="P4" s="12" t="str">
        <x:v>Sí</x:v>
      </x:c>
      <x:c r="Q4" s="12" t="str">
        <x:v>Comparable rural</x:v>
      </x:c>
      <x:c r="R4" s="16" t="n">
        <x:f>IFERROR(F4/G4,"")</x:f>
        <x:v>6398</x:v>
      </x:c>
      <x:c r="S4" s="12" t="str">
        <x:v>https://www.portalinmobiliario.com/venta/parcela/sin-dormitorios/quillon-nuble</x:v>
      </x:c>
    </x:row>
    <x:row r="5">
      <x:c r="A5" s="12" t="str">
        <x:v>Portal Inmobiliario</x:v>
      </x:c>
      <x:c r="B5" s="12" t="str">
        <x:v>Amplia parcela con vistas panorámicas</x:v>
      </x:c>
      <x:c r="C5" s="12" t="str">
        <x:v>Parcela sola</x:v>
      </x:c>
      <x:c r="D5" s="14" t="n">
        <x:v>26000000</x:v>
      </x:c>
      <x:c r="E5" s="12" t="str">
        <x:v>CLP</x:v>
      </x:c>
      <x:c r="F5" s="16" t="n">
        <x:f>IF(E5="UF",D5*Resumen!$B$4,D5)</x:f>
        <x:v>26000000</x:v>
      </x:c>
      <x:c r="G5" s="18" t="n">
        <x:v>5000</x:v>
      </x:c>
      <x:c r="H5" s="18"/>
      <x:c r="I5" s="12"/>
      <x:c r="J5" s="12"/>
      <x:c r="K5" s="12" t="str">
        <x:v>No informado</x:v>
      </x:c>
      <x:c r="L5" s="12" t="str">
        <x:v>No informado</x:v>
      </x:c>
      <x:c r="M5" s="12" t="str">
        <x:v>No informado</x:v>
      </x:c>
      <x:c r="N5" s="12" t="str">
        <x:v>Quillón</x:v>
      </x:c>
      <x:c r="O5" s="12" t="str">
        <x:v>Sí</x:v>
      </x:c>
      <x:c r="P5" s="12" t="str">
        <x:v>Sí</x:v>
      </x:c>
      <x:c r="Q5" s="12" t="str">
        <x:v>Comparable rural; vista panorámica</x:v>
      </x:c>
      <x:c r="R5" s="16" t="n">
        <x:f>IFERROR(F5/G5,"")</x:f>
        <x:v>5200</x:v>
      </x:c>
      <x:c r="S5" s="12" t="str">
        <x:v>https://www.portalinmobiliario.com/venta/parcela/sin-dormitorios/quillon-nuble</x:v>
      </x:c>
    </x:row>
    <x:row r="6">
      <x:c r="A6" s="12" t="str">
        <x:v>Portal Inmobiliario</x:v>
      </x:c>
      <x:c r="B6" s="12" t="str">
        <x:v>Venta parcela de agrado Buena Vista Coyanco</x:v>
      </x:c>
      <x:c r="C6" s="12" t="str">
        <x:v>Parcela sola</x:v>
      </x:c>
      <x:c r="D6" s="14" t="n">
        <x:v>27000000</x:v>
      </x:c>
      <x:c r="E6" s="12" t="str">
        <x:v>CLP</x:v>
      </x:c>
      <x:c r="F6" s="16" t="n">
        <x:f>IF(E6="UF",D6*Resumen!$B$4,D6)</x:f>
        <x:v>27000000</x:v>
      </x:c>
      <x:c r="G6" s="18" t="n">
        <x:v>5000</x:v>
      </x:c>
      <x:c r="H6" s="18"/>
      <x:c r="I6" s="12"/>
      <x:c r="J6" s="12"/>
      <x:c r="K6" s="12" t="str">
        <x:v>No informado</x:v>
      </x:c>
      <x:c r="L6" s="12" t="str">
        <x:v>No informado</x:v>
      </x:c>
      <x:c r="M6" s="12" t="str">
        <x:v>No informado</x:v>
      </x:c>
      <x:c r="N6" s="12" t="str">
        <x:v>Coyanco</x:v>
      </x:c>
      <x:c r="O6" s="12" t="str">
        <x:v>Sí</x:v>
      </x:c>
      <x:c r="P6" s="12" t="str">
        <x:v>Sí</x:v>
      </x:c>
      <x:c r="Q6" s="12" t="str">
        <x:v>Comparable rural</x:v>
      </x:c>
      <x:c r="R6" s="16" t="n">
        <x:f>IFERROR(F6/G6,"")</x:f>
        <x:v>5400</x:v>
      </x:c>
      <x:c r="S6" s="12" t="str">
        <x:v>https://www.portalinmobiliario.com/venta/parcela/quillon-nuble/_Desde_49_NoIndex_True</x:v>
      </x:c>
    </x:row>
    <x:row r="7">
      <x:c r="A7" s="12" t="str">
        <x:v>Portal Inmobiliario</x:v>
      </x:c>
      <x:c r="B7" s="12" t="str">
        <x:v>Venta parcelas Buena Vista Coyanco</x:v>
      </x:c>
      <x:c r="C7" s="12" t="str">
        <x:v>Parcela sola</x:v>
      </x:c>
      <x:c r="D7" s="14" t="n">
        <x:v>35000000</x:v>
      </x:c>
      <x:c r="E7" s="12" t="str">
        <x:v>CLP</x:v>
      </x:c>
      <x:c r="F7" s="16" t="n">
        <x:f>IF(E7="UF",D7*Resumen!$B$4,D7)</x:f>
        <x:v>35000000</x:v>
      </x:c>
      <x:c r="G7" s="18" t="n">
        <x:v>5000</x:v>
      </x:c>
      <x:c r="H7" s="18"/>
      <x:c r="I7" s="12"/>
      <x:c r="J7" s="12"/>
      <x:c r="K7" s="12" t="str">
        <x:v>No informado</x:v>
      </x:c>
      <x:c r="L7" s="12" t="str">
        <x:v>No informado</x:v>
      </x:c>
      <x:c r="M7" s="12" t="str">
        <x:v>No informado</x:v>
      </x:c>
      <x:c r="N7" s="12" t="str">
        <x:v>Coyanco / Ruta 148</x:v>
      </x:c>
      <x:c r="O7" s="12" t="str">
        <x:v>Sí</x:v>
      </x:c>
      <x:c r="P7" s="12" t="str">
        <x:v>Sí</x:v>
      </x:c>
      <x:c r="Q7" s="12" t="str">
        <x:v>Comparable rural</x:v>
      </x:c>
      <x:c r="R7" s="16" t="n">
        <x:f>IFERROR(F7/G7,"")</x:f>
        <x:v>7000</x:v>
      </x:c>
      <x:c r="S7" s="12" t="str">
        <x:v>https://www.portalinmobiliario.com/venta/parcela/quillon-nuble/_Desde_49_NoIndex_True</x:v>
      </x:c>
    </x:row>
    <x:row r="8">
      <x:c r="A8" s="12" t="str">
        <x:v>Portal Inmobiliario</x:v>
      </x:c>
      <x:c r="B8" s="12" t="str">
        <x:v>Terreno península Laguna Avendaño 7.700m2</x:v>
      </x:c>
      <x:c r="C8" s="12" t="str">
        <x:v>Parcela sola</x:v>
      </x:c>
      <x:c r="D8" s="14" t="n">
        <x:v>2990</x:v>
      </x:c>
      <x:c r="E8" s="12" t="str">
        <x:v>UF</x:v>
      </x:c>
      <x:c r="F8" s="16" t="n">
        <x:f>IF(E8="UF",D8*Resumen!$B$4,D8)</x:f>
        <x:v>122125922.10000001</x:v>
      </x:c>
      <x:c r="G8" s="18" t="n">
        <x:v>7700</x:v>
      </x:c>
      <x:c r="H8" s="18"/>
      <x:c r="I8" s="12"/>
      <x:c r="J8" s="12"/>
      <x:c r="K8" s="12" t="str">
        <x:v>No informado</x:v>
      </x:c>
      <x:c r="L8" s="12" t="str">
        <x:v>No informado</x:v>
      </x:c>
      <x:c r="M8" s="12" t="str">
        <x:v>No informado</x:v>
      </x:c>
      <x:c r="N8" s="12" t="str">
        <x:v>Laguna Avendaño</x:v>
      </x:c>
      <x:c r="O8" s="12" t="str">
        <x:v>Sí</x:v>
      </x:c>
      <x:c r="P8" s="12" t="str">
        <x:v>Sí</x:v>
      </x:c>
      <x:c r="Q8" s="12" t="str">
        <x:v>Microzona premium lacustre</x:v>
      </x:c>
      <x:c r="R8" s="16" t="n">
        <x:f>IFERROR(F8/G8,"")</x:f>
        <x:v>15860.509363636365</x:v>
      </x:c>
      <x:c r="S8" s="12" t="str">
        <x:v>https://www.portalinmobiliario.com/venta/parcela/sin-dormitorios/quillon-nuble</x:v>
      </x:c>
    </x:row>
    <x:row r="9">
      <x:c r="A9" s="12" t="str">
        <x:v>Portal Inmobiliario</x:v>
      </x:c>
      <x:c r="B9" s="12" t="str">
        <x:v>Parcela 7.500m2 sector Cerro Negro</x:v>
      </x:c>
      <x:c r="C9" s="12" t="str">
        <x:v>Parcela sola</x:v>
      </x:c>
      <x:c r="D9" s="14" t="n">
        <x:v>38000000</x:v>
      </x:c>
      <x:c r="E9" s="12" t="str">
        <x:v>CLP</x:v>
      </x:c>
      <x:c r="F9" s="16" t="n">
        <x:f>IF(E9="UF",D9*Resumen!$B$4,D9)</x:f>
        <x:v>38000000</x:v>
      </x:c>
      <x:c r="G9" s="18" t="n">
        <x:v>7500</x:v>
      </x:c>
      <x:c r="H9" s="18"/>
      <x:c r="I9" s="12"/>
      <x:c r="J9" s="12"/>
      <x:c r="K9" s="12" t="str">
        <x:v>No informado</x:v>
      </x:c>
      <x:c r="L9" s="12" t="str">
        <x:v>No informado</x:v>
      </x:c>
      <x:c r="M9" s="12" t="str">
        <x:v>No informado</x:v>
      </x:c>
      <x:c r="N9" s="12" t="str">
        <x:v>Cerro Negro</x:v>
      </x:c>
      <x:c r="O9" s="12" t="str">
        <x:v>Sí</x:v>
      </x:c>
      <x:c r="P9" s="12" t="str">
        <x:v>Sí</x:v>
      </x:c>
      <x:c r="Q9" s="12" t="str">
        <x:v>Comparable rural</x:v>
      </x:c>
      <x:c r="R9" s="16" t="n">
        <x:f>IFERROR(F9/G9,"")</x:f>
        <x:v>5066.666666666667</x:v>
      </x:c>
      <x:c r="S9" s="12" t="str">
        <x:v>https://www.portalinmobiliario.com/venta/parcela/sin-dormitorios/quillon-nuble</x:v>
      </x:c>
    </x:row>
    <x:row r="10">
      <x:c r="A10" s="12" t="str">
        <x:v>Portal Inmobiliario</x:v>
      </x:c>
      <x:c r="B10" s="12" t="str">
        <x:v>Terreno condominio 5.000m2 Huacamala</x:v>
      </x:c>
      <x:c r="C10" s="12" t="str">
        <x:v>Parcela sola</x:v>
      </x:c>
      <x:c r="D10" s="14" t="n">
        <x:v>900</x:v>
      </x:c>
      <x:c r="E10" s="12" t="str">
        <x:v>UF</x:v>
      </x:c>
      <x:c r="F10" s="16" t="n">
        <x:f>IF(E10="UF",D10*Resumen!$B$4,D10)</x:f>
        <x:v>36760311</x:v>
      </x:c>
      <x:c r="G10" s="18" t="n">
        <x:v>5000</x:v>
      </x:c>
      <x:c r="H10" s="18"/>
      <x:c r="I10" s="12"/>
      <x:c r="J10" s="12"/>
      <x:c r="K10" s="12" t="str">
        <x:v>No informado</x:v>
      </x:c>
      <x:c r="L10" s="12" t="str">
        <x:v>No informado</x:v>
      </x:c>
      <x:c r="M10" s="12" t="str">
        <x:v>No informado</x:v>
      </x:c>
      <x:c r="N10" s="12" t="str">
        <x:v>Huacamala</x:v>
      </x:c>
      <x:c r="O10" s="12" t="str">
        <x:v>Sí</x:v>
      </x:c>
      <x:c r="P10" s="12" t="str">
        <x:v>Sí</x:v>
      </x:c>
      <x:c r="Q10" s="12" t="str">
        <x:v>Condominio</x:v>
      </x:c>
      <x:c r="R10" s="16" t="n">
        <x:f>IFERROR(F10/G10,"")</x:f>
        <x:v>7352.0622</x:v>
      </x:c>
      <x:c r="S10" s="12" t="str">
        <x:v>https://www.portalinmobiliario.com/venta/parcela/quillon-nuble/_Desde_49_NoIndex_True</x:v>
      </x:c>
    </x:row>
    <x:row r="11">
      <x:c r="A11" s="12" t="str">
        <x:v>Portal Inmobiliario</x:v>
      </x:c>
      <x:c r="B11" s="12" t="str">
        <x:v>Parcela sector Queime 9.500m2</x:v>
      </x:c>
      <x:c r="C11" s="12" t="str">
        <x:v>Parcela sola</x:v>
      </x:c>
      <x:c r="D11" s="14" t="n">
        <x:v>33000000</x:v>
      </x:c>
      <x:c r="E11" s="12" t="str">
        <x:v>CLP</x:v>
      </x:c>
      <x:c r="F11" s="16" t="n">
        <x:f>IF(E11="UF",D11*Resumen!$B$4,D11)</x:f>
        <x:v>33000000</x:v>
      </x:c>
      <x:c r="G11" s="18" t="n">
        <x:v>9500</x:v>
      </x:c>
      <x:c r="H11" s="18"/>
      <x:c r="I11" s="12"/>
      <x:c r="J11" s="12"/>
      <x:c r="K11" s="12" t="str">
        <x:v>No informado</x:v>
      </x:c>
      <x:c r="L11" s="12" t="str">
        <x:v>No informado</x:v>
      </x:c>
      <x:c r="M11" s="12" t="str">
        <x:v>No informado</x:v>
      </x:c>
      <x:c r="N11" s="12" t="str">
        <x:v>Queime</x:v>
      </x:c>
      <x:c r="O11" s="12" t="str">
        <x:v>Sí</x:v>
      </x:c>
      <x:c r="P11" s="12" t="str">
        <x:v>Sí</x:v>
      </x:c>
      <x:c r="Q11" s="12" t="str">
        <x:v>Comparable rural mayor superficie</x:v>
      </x:c>
      <x:c r="R11" s="16" t="n">
        <x:f>IFERROR(F11/G11,"")</x:f>
        <x:v>3473.684210526316</x:v>
      </x:c>
      <x:c r="S11" s="12" t="str">
        <x:v>https://www.portalinmobiliario.com/venta/parcela/quillon-nuble/_Desde_49_NoIndex_True</x:v>
      </x:c>
    </x:row>
    <x:row r="12">
      <x:c r="A12" s="12" t="str">
        <x:v>Portal Inmobiliario</x:v>
      </x:c>
      <x:c r="B12" s="12" t="str">
        <x:v>Parcela a 40 min de Quillón</x:v>
      </x:c>
      <x:c r="C12" s="12" t="str">
        <x:v>Parcela sola</x:v>
      </x:c>
      <x:c r="D12" s="14" t="n">
        <x:v>20000000</x:v>
      </x:c>
      <x:c r="E12" s="12" t="str">
        <x:v>CLP</x:v>
      </x:c>
      <x:c r="F12" s="16" t="n">
        <x:f>IF(E12="UF",D12*Resumen!$B$4,D12)</x:f>
        <x:v>20000000</x:v>
      </x:c>
      <x:c r="G12" s="18" t="n">
        <x:v>5000</x:v>
      </x:c>
      <x:c r="H12" s="18"/>
      <x:c r="I12" s="12"/>
      <x:c r="J12" s="12"/>
      <x:c r="K12" s="12" t="str">
        <x:v>No informado</x:v>
      </x:c>
      <x:c r="L12" s="12" t="str">
        <x:v>No informado</x:v>
      </x:c>
      <x:c r="M12" s="12" t="str">
        <x:v>No informado</x:v>
      </x:c>
      <x:c r="N12" s="12" t="str">
        <x:v>A 40 min de Quillón</x:v>
      </x:c>
      <x:c r="O12" s="12" t="str">
        <x:v>Sí</x:v>
      </x:c>
      <x:c r="P12" s="12" t="str">
        <x:v>Sí</x:v>
      </x:c>
      <x:c r="Q12" s="12" t="str">
        <x:v>Distancia alta</x:v>
      </x:c>
      <x:c r="R12" s="16" t="n">
        <x:f>IFERROR(F12/G12,"")</x:f>
        <x:v>4000</x:v>
      </x:c>
      <x:c r="S12" s="12" t="str">
        <x:v>https://www.portalinmobiliario.com/venta/parcela/quillon-nuble/_Desde_49_NoIndex_True</x:v>
      </x:c>
    </x:row>
    <x:row r="13">
      <x:c r="A13" s="12" t="str">
        <x:v>Portal Inmobiliario</x:v>
      </x:c>
      <x:c r="B13" s="12" t="str">
        <x:v>Parcela 3,8 ha sector El Peley</x:v>
      </x:c>
      <x:c r="C13" s="12" t="str">
        <x:v>Parcela sola</x:v>
      </x:c>
      <x:c r="D13" s="14" t="n">
        <x:v>80000000</x:v>
      </x:c>
      <x:c r="E13" s="12" t="str">
        <x:v>CLP</x:v>
      </x:c>
      <x:c r="F13" s="16" t="n">
        <x:f>IF(E13="UF",D13*Resumen!$B$4,D13)</x:f>
        <x:v>80000000</x:v>
      </x:c>
      <x:c r="G13" s="18" t="n">
        <x:v>38000</x:v>
      </x:c>
      <x:c r="H13" s="18"/>
      <x:c r="I13" s="12"/>
      <x:c r="J13" s="12"/>
      <x:c r="K13" s="12" t="str">
        <x:v>No informado</x:v>
      </x:c>
      <x:c r="L13" s="12" t="str">
        <x:v>No informado</x:v>
      </x:c>
      <x:c r="M13" s="12" t="str">
        <x:v>No informado</x:v>
      </x:c>
      <x:c r="N13" s="12" t="str">
        <x:v>El Peley</x:v>
      </x:c>
      <x:c r="O13" s="12" t="str">
        <x:v>Sí</x:v>
      </x:c>
      <x:c r="P13" s="12" t="str">
        <x:v>Sí</x:v>
      </x:c>
      <x:c r="Q13" s="12" t="str">
        <x:v>Campo; separar de parcela 5.000m2</x:v>
      </x:c>
      <x:c r="R13" s="16" t="n">
        <x:f>IFERROR(F13/G13,"")</x:f>
        <x:v>2105.2631578947367</x:v>
      </x:c>
      <x:c r="S13" s="12" t="str">
        <x:v>https://www.portalinmobiliario.com/venta/parcela/quillon-nuble/_Desde_49_NoIndex_True</x:v>
      </x:c>
    </x:row>
    <x:row r="14">
      <x:c r="A14" s="12" t="str">
        <x:v>Portal Inmobiliario</x:v>
      </x:c>
      <x:c r="B14" s="12" t="str">
        <x:v>Parcela 2,7 hectáreas sector Queime</x:v>
      </x:c>
      <x:c r="C14" s="12" t="str">
        <x:v>Parcela sola</x:v>
      </x:c>
      <x:c r="D14" s="14" t="n">
        <x:v>100000000</x:v>
      </x:c>
      <x:c r="E14" s="12" t="str">
        <x:v>CLP</x:v>
      </x:c>
      <x:c r="F14" s="16" t="n">
        <x:f>IF(E14="UF",D14*Resumen!$B$4,D14)</x:f>
        <x:v>100000000</x:v>
      </x:c>
      <x:c r="G14" s="18" t="n">
        <x:v>27000</x:v>
      </x:c>
      <x:c r="H14" s="18"/>
      <x:c r="I14" s="12"/>
      <x:c r="J14" s="12"/>
      <x:c r="K14" s="12" t="str">
        <x:v>No informado</x:v>
      </x:c>
      <x:c r="L14" s="12" t="str">
        <x:v>No informado</x:v>
      </x:c>
      <x:c r="M14" s="12" t="str">
        <x:v>No informado</x:v>
      </x:c>
      <x:c r="N14" s="12" t="str">
        <x:v>Queime</x:v>
      </x:c>
      <x:c r="O14" s="12" t="str">
        <x:v>Sí</x:v>
      </x:c>
      <x:c r="P14" s="12" t="str">
        <x:v>Sí</x:v>
      </x:c>
      <x:c r="Q14" s="12" t="str">
        <x:v>Campo; separar de parcela 5.000m2</x:v>
      </x:c>
      <x:c r="R14" s="16" t="n">
        <x:f>IFERROR(F14/G14,"")</x:f>
        <x:v>3703.703703703704</x:v>
      </x:c>
      <x:c r="S14" s="12" t="str">
        <x:v>https://www.portalinmobiliario.com/venta/parcela/quillon-nuble/_Desde_49_NoIndex_True</x:v>
      </x:c>
    </x:row>
    <x:row r="15">
      <x:c r="A15" s="12" t="str">
        <x:v>Portal Inmobiliario</x:v>
      </x:c>
      <x:c r="B15" s="12" t="str">
        <x:v>Terreno con rol propio Cerro Negro</x:v>
      </x:c>
      <x:c r="C15" s="12" t="str">
        <x:v>Parcela sola</x:v>
      </x:c>
      <x:c r="D15" s="14" t="n">
        <x:v>15100000</x:v>
      </x:c>
      <x:c r="E15" s="12" t="str">
        <x:v>CLP</x:v>
      </x:c>
      <x:c r="F15" s="16" t="n">
        <x:f>IF(E15="UF",D15*Resumen!$B$4,D15)</x:f>
        <x:v>15100000</x:v>
      </x:c>
      <x:c r="G15" s="18" t="n">
        <x:v>5000</x:v>
      </x:c>
      <x:c r="H15" s="18"/>
      <x:c r="I15" s="12"/>
      <x:c r="J15" s="12"/>
      <x:c r="K15" s="12" t="str">
        <x:v>No informado</x:v>
      </x:c>
      <x:c r="L15" s="12" t="str">
        <x:v>No informado</x:v>
      </x:c>
      <x:c r="M15" s="12" t="str">
        <x:v>No informado</x:v>
      </x:c>
      <x:c r="N15" s="12" t="str">
        <x:v>Cerro Negro</x:v>
      </x:c>
      <x:c r="O15" s="12" t="str">
        <x:v>Sí</x:v>
      </x:c>
      <x:c r="P15" s="12" t="str">
        <x:v>Sí</x:v>
      </x:c>
      <x:c r="Q15" s="12" t="str">
        <x:v>Comparable rural</x:v>
      </x:c>
      <x:c r="R15" s="16" t="n">
        <x:f>IFERROR(F15/G15,"")</x:f>
        <x:v>3020</x:v>
      </x:c>
      <x:c r="S15" s="12" t="str">
        <x:v>https://www.portalinmobiliario.com/venta/parcela/quillon-nuble/_Desde_49_NoIndex_True</x:v>
      </x:c>
    </x:row>
    <x:row r="16">
      <x:c r="A16" s="12" t="str">
        <x:v>Yapo</x:v>
      </x:c>
      <x:c r="B16" s="12" t="str">
        <x:v>Parcelas entre Quillón y Bulnes</x:v>
      </x:c>
      <x:c r="C16" s="12" t="str">
        <x:v>Parcela sola</x:v>
      </x:c>
      <x:c r="D16" s="14" t="n">
        <x:v>699</x:v>
      </x:c>
      <x:c r="E16" s="12" t="str">
        <x:v>UF</x:v>
      </x:c>
      <x:c r="F16" s="16" t="n">
        <x:f>IF(E16="UF",D16*Resumen!$B$4,D16)</x:f>
        <x:v>28550508.21</x:v>
      </x:c>
      <x:c r="G16" s="18" t="n">
        <x:v>5000</x:v>
      </x:c>
      <x:c r="H16" s="18"/>
      <x:c r="I16" s="12"/>
      <x:c r="J16" s="12"/>
      <x:c r="K16" s="12" t="str">
        <x:v>No informado</x:v>
      </x:c>
      <x:c r="L16" s="12" t="str">
        <x:v>Factibilidad / puntera</x:v>
      </x:c>
      <x:c r="M16" s="12" t="str">
        <x:v>Empalme</x:v>
      </x:c>
      <x:c r="N16" s="12" t="str">
        <x:v>Entre Quillón y Bulnes</x:v>
      </x:c>
      <x:c r="O16" s="12" t="str">
        <x:v>Sí</x:v>
      </x:c>
      <x:c r="P16" s="12" t="str">
        <x:v>Sí</x:v>
      </x:c>
      <x:c r="Q16" s="12" t="str">
        <x:v>Rol propio, portón, autopista</x:v>
      </x:c>
      <x:c r="R16" s="16" t="n">
        <x:f>IFERROR(F16/G16,"")</x:f>
        <x:v>5710.1016420000005</x:v>
      </x:c>
      <x:c r="S16" s="12" t="str">
        <x:v>https://www.yapo.cl/bienes-raices-venta-de-propiedades-lotes-y-terrenos/parcelas-en-venta-en-quillon-nuble-oportunidad/32301023</x:v>
      </x:c>
    </x:row>
    <x:row r="17">
      <x:c r="A17" s="12" t="str">
        <x:v>Yapo</x:v>
      </x:c>
      <x:c r="B17" s="12" t="str">
        <x:v>Parcela Cerro Negro Quillón</x:v>
      </x:c>
      <x:c r="C17" s="12" t="str">
        <x:v>Parcela sola</x:v>
      </x:c>
      <x:c r="D17" s="14" t="n">
        <x:v>13500000</x:v>
      </x:c>
      <x:c r="E17" s="12" t="str">
        <x:v>CLP</x:v>
      </x:c>
      <x:c r="F17" s="16" t="n">
        <x:f>IF(E17="UF",D17*Resumen!$B$4,D17)</x:f>
        <x:v>13500000</x:v>
      </x:c>
      <x:c r="G17" s="18" t="n">
        <x:v>5000</x:v>
      </x:c>
      <x:c r="H17" s="18"/>
      <x:c r="I17" s="12"/>
      <x:c r="J17" s="12"/>
      <x:c r="K17" s="12" t="str">
        <x:v>No informado</x:v>
      </x:c>
      <x:c r="L17" s="12" t="str">
        <x:v>No informado</x:v>
      </x:c>
      <x:c r="M17" s="12" t="str">
        <x:v>No informado</x:v>
      </x:c>
      <x:c r="N17" s="12" t="str">
        <x:v>El Arenal / Canchillas</x:v>
      </x:c>
      <x:c r="O17" s="12" t="str">
        <x:v>No</x:v>
      </x:c>
      <x:c r="P17" s="12" t="str">
        <x:v>No</x:v>
      </x:c>
      <x:c r="Q17" s="12" t="str">
        <x:v>Aviso desactivado; conservar solo como histórico</x:v>
      </x:c>
      <x:c r="R17" s="16" t="n">
        <x:f>IFERROR(F17/G17,"")</x:f>
        <x:v>2700</x:v>
      </x:c>
      <x:c r="S17" s="12" t="str">
        <x:v>https://www.yapo.cl/bienes-raices-venta-de-propiedades-lotes-y-terrenos/parcela-en-cerro-negro-quillon/25904047</x:v>
      </x:c>
    </x:row>
    <x:row r="18">
      <x:c r="A18" s="12" t="str">
        <x:v>Yapo</x:v>
      </x:c>
      <x:c r="B18" s="12" t="str">
        <x:v>Parcela 3,8 ha El Peley</x:v>
      </x:c>
      <x:c r="C18" s="12" t="str">
        <x:v>Parcela sola</x:v>
      </x:c>
      <x:c r="D18" s="14" t="n">
        <x:v>55000000</x:v>
      </x:c>
      <x:c r="E18" s="12" t="str">
        <x:v>CLP</x:v>
      </x:c>
      <x:c r="F18" s="16" t="n">
        <x:f>IF(E18="UF",D18*Resumen!$B$4,D18)</x:f>
        <x:v>55000000</x:v>
      </x:c>
      <x:c r="G18" s="18" t="n">
        <x:v>38000</x:v>
      </x:c>
      <x:c r="H18" s="18"/>
      <x:c r="I18" s="12"/>
      <x:c r="J18" s="12"/>
      <x:c r="K18" s="12" t="str">
        <x:v>No informado</x:v>
      </x:c>
      <x:c r="L18" s="12" t="str">
        <x:v>Servicios básicos</x:v>
      </x:c>
      <x:c r="M18" s="12" t="str">
        <x:v>Servicios básicos</x:v>
      </x:c>
      <x:c r="N18" s="12" t="str">
        <x:v>El Peley</x:v>
      </x:c>
      <x:c r="O18" s="12" t="str">
        <x:v>Sí</x:v>
      </x:c>
      <x:c r="P18" s="12" t="str">
        <x:v>Sí</x:v>
      </x:c>
      <x:c r="Q18" s="12" t="str">
        <x:v>Descripción corrige error de superficie del portal: 3,8 ha</x:v>
      </x:c>
      <x:c r="R18" s="16" t="n">
        <x:f>IFERROR(F18/G18,"")</x:f>
        <x:v>1447.3684210526317</x:v>
      </x:c>
      <x:c r="S18" s="12" t="str">
        <x:v>https://www.yapo.cl/bienes-raices-venta-de-propiedades-lotes-y-terrenos/parcela-4-hectareas-en-quillon-nuble-oportunidad-bajo-precio/31845588</x:v>
      </x:c>
    </x:row>
    <x:row r="19">
      <x:c r="A19" s="12" t="str">
        <x:v>Yapo</x:v>
      </x:c>
      <x:c r="B19" s="12" t="str">
        <x:v>Parcela Camino a Huachipato</x:v>
      </x:c>
      <x:c r="C19" s="12" t="str">
        <x:v>Parcela sola</x:v>
      </x:c>
      <x:c r="D19" s="14" t="n">
        <x:v>38000000</x:v>
      </x:c>
      <x:c r="E19" s="12" t="str">
        <x:v>CLP</x:v>
      </x:c>
      <x:c r="F19" s="16" t="n">
        <x:f>IF(E19="UF",D19*Resumen!$B$4,D19)</x:f>
        <x:v>38000000</x:v>
      </x:c>
      <x:c r="G19" s="18" t="n">
        <x:v>5000</x:v>
      </x:c>
      <x:c r="H19" s="18"/>
      <x:c r="I19" s="12"/>
      <x:c r="J19" s="12"/>
      <x:c r="K19" s="12" t="str">
        <x:v>No informado</x:v>
      </x:c>
      <x:c r="L19" s="12" t="str">
        <x:v>No informado</x:v>
      </x:c>
      <x:c r="M19" s="12" t="str">
        <x:v>No informado</x:v>
      </x:c>
      <x:c r="N19" s="12" t="str">
        <x:v>Quillón</x:v>
      </x:c>
      <x:c r="O19" s="12" t="str">
        <x:v>Sí</x:v>
      </x:c>
      <x:c r="P19" s="12" t="str">
        <x:v>Sí</x:v>
      </x:c>
      <x:c r="Q19" s="12" t="str">
        <x:v>Comparable rural</x:v>
      </x:c>
      <x:c r="R19" s="16" t="n">
        <x:f>IFERROR(F19/G19,"")</x:f>
        <x:v>7600</x:v>
      </x:c>
      <x:c r="S19" s="12" t="str">
        <x:v>https://www.yapo.cl/bienes-raices-venta-de-propiedades-lotes-y-terrenos/parcela-camino-a-huachipato-quillon/29823249</x:v>
      </x:c>
    </x:row>
    <x:row r="20">
      <x:c r="A20" s="12" t="str">
        <x:v>Yapo</x:v>
      </x:c>
      <x:c r="B20" s="12" t="str">
        <x:v>Parcela 10.000m2 Peaje Queime</x:v>
      </x:c>
      <x:c r="C20" s="12" t="str">
        <x:v>Parcela sola</x:v>
      </x:c>
      <x:c r="D20" s="14" t="n">
        <x:v>36000000</x:v>
      </x:c>
      <x:c r="E20" s="12" t="str">
        <x:v>CLP</x:v>
      </x:c>
      <x:c r="F20" s="16" t="n">
        <x:f>IF(E20="UF",D20*Resumen!$B$4,D20)</x:f>
        <x:v>36000000</x:v>
      </x:c>
      <x:c r="G20" s="18" t="n">
        <x:v>10000</x:v>
      </x:c>
      <x:c r="H20" s="18"/>
      <x:c r="I20" s="12"/>
      <x:c r="J20" s="12"/>
      <x:c r="K20" s="12" t="str">
        <x:v>No informado</x:v>
      </x:c>
      <x:c r="L20" s="12" t="str">
        <x:v>Puntera</x:v>
      </x:c>
      <x:c r="M20" s="12" t="str">
        <x:v>Factibilidad cercana</x:v>
      </x:c>
      <x:c r="N20" s="12" t="str">
        <x:v>Peaje Queime</x:v>
      </x:c>
      <x:c r="O20" s="12" t="str">
        <x:v>Sí</x:v>
      </x:c>
      <x:c r="P20" s="12" t="str">
        <x:v>Sí</x:v>
      </x:c>
      <x:c r="Q20" s="12" t="str">
        <x:v>650 cerezos; camino con asfaltado autorizado</x:v>
      </x:c>
      <x:c r="R20" s="16" t="n">
        <x:f>IFERROR(F20/G20,"")</x:f>
        <x:v>3600</x:v>
      </x:c>
      <x:c r="S20" s="12" t="str">
        <x:v>https://www.yapo.cl/bienes-raices-venta-de-propiedades-fincas/gran-oportunidad-parcela-de-10-000m2-en-la-comuna-quillon/31619677</x:v>
      </x:c>
    </x:row>
    <x:row r="21">
      <x:c r="A21" s="12" t="str">
        <x:v>Yapo</x:v>
      </x:c>
      <x:c r="B21" s="12" t="str">
        <x:v>Parcela 5.000m2 Queime</x:v>
      </x:c>
      <x:c r="C21" s="12" t="str">
        <x:v>Parcela sola</x:v>
      </x:c>
      <x:c r="D21" s="14" t="n">
        <x:v>16600000</x:v>
      </x:c>
      <x:c r="E21" s="12" t="str">
        <x:v>CLP</x:v>
      </x:c>
      <x:c r="F21" s="16" t="n">
        <x:f>IF(E21="UF",D21*Resumen!$B$4,D21)</x:f>
        <x:v>16600000</x:v>
      </x:c>
      <x:c r="G21" s="18" t="n">
        <x:v>5000</x:v>
      </x:c>
      <x:c r="H21" s="18"/>
      <x:c r="I21" s="12"/>
      <x:c r="J21" s="12" t="n">
        <x:v>1</x:v>
      </x:c>
      <x:c r="K21" s="12" t="str">
        <x:v>No informado</x:v>
      </x:c>
      <x:c r="L21" s="12" t="str">
        <x:v>Acceso</x:v>
      </x:c>
      <x:c r="M21" s="12" t="str">
        <x:v>Acceso</x:v>
      </x:c>
      <x:c r="N21" s="12" t="str">
        <x:v>Queime</x:v>
      </x:c>
      <x:c r="O21" s="12" t="str">
        <x:v>Sí</x:v>
      </x:c>
      <x:c r="P21" s="12" t="str">
        <x:v>No</x:v>
      </x:c>
      <x:c r="Q21" s="12" t="str">
        <x:v>Publicado 2024: conservar como histórico, no mezclar con mercado 2026</x:v>
      </x:c>
      <x:c r="R21" s="16" t="n">
        <x:f>IFERROR(F21/G21,"")</x:f>
        <x:v>3320</x:v>
      </x:c>
      <x:c r="S21" s="12" t="str">
        <x:v>https://www.yapo.cl/bienes-raices-venta-de-propiedades-lotes-y-terrenos/parcela/25890613</x:v>
      </x:c>
    </x:row>
    <x:row r="22">
      <x:c r="A22" s="12" t="str">
        <x:v>Yapo</x:v>
      </x:c>
      <x:c r="B22" s="12" t="str">
        <x:v>Parcela Quillón Liucura</x:v>
      </x:c>
      <x:c r="C22" s="12" t="str">
        <x:v>Parcela sola</x:v>
      </x:c>
      <x:c r="D22" s="14" t="n">
        <x:v>18500000</x:v>
      </x:c>
      <x:c r="E22" s="12" t="str">
        <x:v>CLP</x:v>
      </x:c>
      <x:c r="F22" s="16" t="n">
        <x:f>IF(E22="UF",D22*Resumen!$B$4,D22)</x:f>
        <x:v>18500000</x:v>
      </x:c>
      <x:c r="G22" s="18" t="n">
        <x:v>5000</x:v>
      </x:c>
      <x:c r="H22" s="18"/>
      <x:c r="I22" s="12"/>
      <x:c r="J22" s="12" t="n">
        <x:v>1</x:v>
      </x:c>
      <x:c r="K22" s="12" t="str">
        <x:v>No informado</x:v>
      </x:c>
      <x:c r="L22" s="12" t="str">
        <x:v>No informado</x:v>
      </x:c>
      <x:c r="M22" s="12" t="str">
        <x:v>No informado</x:v>
      </x:c>
      <x:c r="N22" s="12" t="str">
        <x:v>Liucura</x:v>
      </x:c>
      <x:c r="O22" s="12" t="str">
        <x:v>Sí</x:v>
      </x:c>
      <x:c r="P22" s="12" t="str">
        <x:v>No</x:v>
      </x:c>
      <x:c r="Q22" s="12" t="str">
        <x:v>Publicado 2024: histórico</x:v>
      </x:c>
      <x:c r="R22" s="16" t="n">
        <x:f>IFERROR(F22/G22,"")</x:f>
        <x:v>3700</x:v>
      </x:c>
      <x:c r="S22" s="12" t="str">
        <x:v>https://www.yapo.cl/bienes-raices-venta-de-propiedades-lotes-y-terrenos/parcela-quillon-liucura/25899089</x:v>
      </x:c>
    </x:row>
    <x:row r="23">
      <x:c r="A23" s="12" t="str">
        <x:v>Yapo</x:v>
      </x:c>
      <x:c r="B23" s="12" t="str">
        <x:v>Parcela Cerro Negro 5.000m2</x:v>
      </x:c>
      <x:c r="C23" s="12" t="str">
        <x:v>Parcela sola</x:v>
      </x:c>
      <x:c r="D23" s="14" t="n">
        <x:v>30000000</x:v>
      </x:c>
      <x:c r="E23" s="12" t="str">
        <x:v>CLP</x:v>
      </x:c>
      <x:c r="F23" s="16" t="n">
        <x:f>IF(E23="UF",D23*Resumen!$B$4,D23)</x:f>
        <x:v>30000000</x:v>
      </x:c>
      <x:c r="G23" s="18" t="n">
        <x:v>5000</x:v>
      </x:c>
      <x:c r="H23" s="18"/>
      <x:c r="I23" s="12"/>
      <x:c r="J23" s="12" t="n">
        <x:v>1</x:v>
      </x:c>
      <x:c r="K23" s="12" t="str">
        <x:v>No informado</x:v>
      </x:c>
      <x:c r="L23" s="12" t="str">
        <x:v>Factibilidad</x:v>
      </x:c>
      <x:c r="M23" s="12" t="str">
        <x:v>Factibilidad</x:v>
      </x:c>
      <x:c r="N23" s="12" t="str">
        <x:v>Cerro Negro / Canchillas</x:v>
      </x:c>
      <x:c r="O23" s="12" t="str">
        <x:v>Sí</x:v>
      </x:c>
      <x:c r="P23" s="12" t="str">
        <x:v>No</x:v>
      </x:c>
      <x:c r="Q23" s="12" t="str">
        <x:v>Publicado 2023: histórico</x:v>
      </x:c>
      <x:c r="R23" s="16" t="n">
        <x:f>IFERROR(F23/G23,"")</x:f>
        <x:v>6000</x:v>
      </x:c>
      <x:c r="S23" s="12" t="str">
        <x:v>https://www.yapo.cl/bienes-raices-venta-de-propiedades-lotes-y-terrenos/parcela-cerro-negro-quillon/26670686</x:v>
      </x:c>
    </x:row>
    <x:row r="24">
      <x:c r="A24" s="12" t="str">
        <x:v>Portal Terreno</x:v>
      </x:c>
      <x:c r="B24" s="12" t="str">
        <x:v>Parcela Paso Hondo 5.000m2</x:v>
      </x:c>
      <x:c r="C24" s="12" t="str">
        <x:v>Parcela sola</x:v>
      </x:c>
      <x:c r="D24" s="14" t="n">
        <x:v>19500000</x:v>
      </x:c>
      <x:c r="E24" s="12" t="str">
        <x:v>CLP</x:v>
      </x:c>
      <x:c r="F24" s="16" t="n">
        <x:f>IF(E24="UF",D24*Resumen!$B$4,D24)</x:f>
        <x:v>19500000</x:v>
      </x:c>
      <x:c r="G24" s="18" t="n">
        <x:v>5000</x:v>
      </x:c>
      <x:c r="H24" s="18"/>
      <x:c r="I24" s="12"/>
      <x:c r="J24" s="12"/>
      <x:c r="K24" s="12" t="str">
        <x:v>No informado</x:v>
      </x:c>
      <x:c r="L24" s="12" t="str">
        <x:v>No informado</x:v>
      </x:c>
      <x:c r="M24" s="12" t="str">
        <x:v>No informado</x:v>
      </x:c>
      <x:c r="N24" s="12" t="str">
        <x:v>Paso Hondo</x:v>
      </x:c>
      <x:c r="O24" s="12" t="str">
        <x:v>Sí</x:v>
      </x:c>
      <x:c r="P24" s="12" t="str">
        <x:v>Sí</x:v>
      </x:c>
      <x:c r="Q24" s="12" t="str">
        <x:v>Comparable rural</x:v>
      </x:c>
      <x:c r="R24" s="16" t="n">
        <x:f>IFERROR(F24/G24,"")</x:f>
        <x:v>3900</x:v>
      </x:c>
      <x:c r="S24" s="12" t="str">
        <x:v>https://portalterreno.cl/parcelas-en-venta-en-quillon-diguillin-nuble</x:v>
      </x:c>
    </x:row>
    <x:row r="25">
      <x:c r="A25" s="12" t="str">
        <x:v>Portal Terreno</x:v>
      </x:c>
      <x:c r="B25" s="12" t="str">
        <x:v>Parcelas crédito 5.000m2</x:v>
      </x:c>
      <x:c r="C25" s="12" t="str">
        <x:v>Parcela sola</x:v>
      </x:c>
      <x:c r="D25" s="14" t="n">
        <x:v>22990000</x:v>
      </x:c>
      <x:c r="E25" s="12" t="str">
        <x:v>CLP</x:v>
      </x:c>
      <x:c r="F25" s="16" t="n">
        <x:f>IF(E25="UF",D25*Resumen!$B$4,D25)</x:f>
        <x:v>22990000</x:v>
      </x:c>
      <x:c r="G25" s="18" t="n">
        <x:v>5000</x:v>
      </x:c>
      <x:c r="H25" s="18"/>
      <x:c r="I25" s="12"/>
      <x:c r="J25" s="12"/>
      <x:c r="K25" s="12" t="str">
        <x:v>No informado</x:v>
      </x:c>
      <x:c r="L25" s="12" t="str">
        <x:v>No informado</x:v>
      </x:c>
      <x:c r="M25" s="12" t="str">
        <x:v>No informado</x:v>
      </x:c>
      <x:c r="N25" s="12" t="str">
        <x:v>Quillón</x:v>
      </x:c>
      <x:c r="O25" s="12" t="str">
        <x:v>Sí</x:v>
      </x:c>
      <x:c r="P25" s="12" t="str">
        <x:v>Sí</x:v>
      </x:c>
      <x:c r="Q25" s="12" t="str">
        <x:v>Comparable rural con crédito</x:v>
      </x:c>
      <x:c r="R25" s="16" t="n">
        <x:f>IFERROR(F25/G25,"")</x:f>
        <x:v>4598</x:v>
      </x:c>
      <x:c r="S25" s="12" t="str">
        <x:v>https://portalterreno.cl/parcelas-en-venta-en-quillon-diguillin-nuble</x:v>
      </x:c>
    </x:row>
    <x:row r="26">
      <x:c r="A26" s="12" t="str">
        <x:v>Portal Terreno</x:v>
      </x:c>
      <x:c r="B26" s="12" t="str">
        <x:v>Parcela Santa Ana del Baúl 5.000m2</x:v>
      </x:c>
      <x:c r="C26" s="12" t="str">
        <x:v>Parcela sola</x:v>
      </x:c>
      <x:c r="D26" s="14" t="n">
        <x:v>23000000</x:v>
      </x:c>
      <x:c r="E26" s="12" t="str">
        <x:v>CLP</x:v>
      </x:c>
      <x:c r="F26" s="16" t="n">
        <x:f>IF(E26="UF",D26*Resumen!$B$4,D26)</x:f>
        <x:v>23000000</x:v>
      </x:c>
      <x:c r="G26" s="18" t="n">
        <x:v>5000</x:v>
      </x:c>
      <x:c r="H26" s="18"/>
      <x:c r="I26" s="12"/>
      <x:c r="J26" s="12"/>
      <x:c r="K26" s="12" t="str">
        <x:v>No informado</x:v>
      </x:c>
      <x:c r="L26" s="12" t="str">
        <x:v>No informado</x:v>
      </x:c>
      <x:c r="M26" s="12" t="str">
        <x:v>No informado</x:v>
      </x:c>
      <x:c r="N26" s="12" t="str">
        <x:v>Santa Ana del Baúl</x:v>
      </x:c>
      <x:c r="O26" s="12" t="str">
        <x:v>Sí</x:v>
      </x:c>
      <x:c r="P26" s="12" t="str">
        <x:v>Sí</x:v>
      </x:c>
      <x:c r="Q26" s="12" t="str">
        <x:v>Comparable rural</x:v>
      </x:c>
      <x:c r="R26" s="16" t="n">
        <x:f>IFERROR(F26/G26,"")</x:f>
        <x:v>4600</x:v>
      </x:c>
      <x:c r="S26" s="12" t="str">
        <x:v>https://portalterreno.cl/parcelas-en-venta-en-quillon-diguillin-nuble</x:v>
      </x:c>
    </x:row>
    <x:row r="27">
      <x:c r="A27" s="12" t="str">
        <x:v>Portal Terreno</x:v>
      </x:c>
      <x:c r="B27" s="12" t="str">
        <x:v>Parcela con rol 5.000m2</x:v>
      </x:c>
      <x:c r="C27" s="12" t="str">
        <x:v>Parcela sola</x:v>
      </x:c>
      <x:c r="D27" s="14" t="n">
        <x:v>30000000</x:v>
      </x:c>
      <x:c r="E27" s="12" t="str">
        <x:v>CLP</x:v>
      </x:c>
      <x:c r="F27" s="16" t="n">
        <x:f>IF(E27="UF",D27*Resumen!$B$4,D27)</x:f>
        <x:v>30000000</x:v>
      </x:c>
      <x:c r="G27" s="18" t="n">
        <x:v>5000</x:v>
      </x:c>
      <x:c r="H27" s="18"/>
      <x:c r="I27" s="12"/>
      <x:c r="J27" s="12"/>
      <x:c r="K27" s="12" t="str">
        <x:v>No informado</x:v>
      </x:c>
      <x:c r="L27" s="12" t="str">
        <x:v>No informado</x:v>
      </x:c>
      <x:c r="M27" s="12" t="str">
        <x:v>No informado</x:v>
      </x:c>
      <x:c r="N27" s="12" t="str">
        <x:v>Quillón</x:v>
      </x:c>
      <x:c r="O27" s="12" t="str">
        <x:v>Sí</x:v>
      </x:c>
      <x:c r="P27" s="12" t="str">
        <x:v>Sí</x:v>
      </x:c>
      <x:c r="Q27" s="12" t="str">
        <x:v>Comparable rural</x:v>
      </x:c>
      <x:c r="R27" s="16" t="n">
        <x:f>IFERROR(F27/G27,"")</x:f>
        <x:v>6000</x:v>
      </x:c>
      <x:c r="S27" s="12" t="str">
        <x:v>https://portalterreno.cl/parcelas-en-venta-en-quillon-diguillin-nuble</x:v>
      </x:c>
    </x:row>
    <x:row r="28">
      <x:c r="A28" s="12" t="str">
        <x:v>Portal Terreno</x:v>
      </x:c>
      <x:c r="B28" s="12" t="str">
        <x:v>Parcela de 5.000m2 Portal Quillón</x:v>
      </x:c>
      <x:c r="C28" s="12" t="str">
        <x:v>Parcela sola</x:v>
      </x:c>
      <x:c r="D28" s="14" t="n">
        <x:v>31990000</x:v>
      </x:c>
      <x:c r="E28" s="12" t="str">
        <x:v>CLP</x:v>
      </x:c>
      <x:c r="F28" s="16" t="n">
        <x:f>IF(E28="UF",D28*Resumen!$B$4,D28)</x:f>
        <x:v>31990000</x:v>
      </x:c>
      <x:c r="G28" s="18" t="n">
        <x:v>5000</x:v>
      </x:c>
      <x:c r="H28" s="18"/>
      <x:c r="I28" s="12"/>
      <x:c r="J28" s="12"/>
      <x:c r="K28" s="12" t="str">
        <x:v>No informado</x:v>
      </x:c>
      <x:c r="L28" s="12" t="str">
        <x:v>No informado</x:v>
      </x:c>
      <x:c r="M28" s="12" t="str">
        <x:v>No informado</x:v>
      </x:c>
      <x:c r="N28" s="12" t="str">
        <x:v>Quillón</x:v>
      </x:c>
      <x:c r="O28" s="12" t="str">
        <x:v>Sí</x:v>
      </x:c>
      <x:c r="P28" s="12" t="str">
        <x:v>No</x:v>
      </x:c>
      <x:c r="Q28" s="12" t="str">
        <x:v>Probable duplicado Portal Inmobiliario</x:v>
      </x:c>
      <x:c r="R28" s="16" t="n">
        <x:f>IFERROR(F28/G28,"")</x:f>
        <x:v>6398</x:v>
      </x:c>
      <x:c r="S28" s="12" t="str">
        <x:v>https://portalterreno.cl/parcelas-en-venta-en-quillon-diguillin-nuble</x:v>
      </x:c>
    </x:row>
    <x:row r="29">
      <x:c r="A29" s="12" t="str">
        <x:v>Portal Terreno</x:v>
      </x:c>
      <x:c r="B29" s="12" t="str">
        <x:v>Amplia parcela vistas panorámicas</x:v>
      </x:c>
      <x:c r="C29" s="12" t="str">
        <x:v>Parcela sola</x:v>
      </x:c>
      <x:c r="D29" s="14" t="n">
        <x:v>26000000</x:v>
      </x:c>
      <x:c r="E29" s="12" t="str">
        <x:v>CLP</x:v>
      </x:c>
      <x:c r="F29" s="16" t="n">
        <x:f>IF(E29="UF",D29*Resumen!$B$4,D29)</x:f>
        <x:v>26000000</x:v>
      </x:c>
      <x:c r="G29" s="18" t="n">
        <x:v>5000</x:v>
      </x:c>
      <x:c r="H29" s="18"/>
      <x:c r="I29" s="12"/>
      <x:c r="J29" s="12"/>
      <x:c r="K29" s="12" t="str">
        <x:v>No informado</x:v>
      </x:c>
      <x:c r="L29" s="12" t="str">
        <x:v>No informado</x:v>
      </x:c>
      <x:c r="M29" s="12" t="str">
        <x:v>No informado</x:v>
      </x:c>
      <x:c r="N29" s="12" t="str">
        <x:v>Quillón</x:v>
      </x:c>
      <x:c r="O29" s="12" t="str">
        <x:v>Sí</x:v>
      </x:c>
      <x:c r="P29" s="12" t="str">
        <x:v>No</x:v>
      </x:c>
      <x:c r="Q29" s="12" t="str">
        <x:v>Probable duplicado Portal Inmobiliario</x:v>
      </x:c>
      <x:c r="R29" s="16" t="n">
        <x:f>IFERROR(F29/G29,"")</x:f>
        <x:v>5200</x:v>
      </x:c>
      <x:c r="S29" s="12" t="str">
        <x:v>https://portalterreno.cl/parcelas-en-venta-en-quillon-diguillin-nuble</x:v>
      </x:c>
    </x:row>
    <x:row r="30">
      <x:c r="A30" s="12" t="str">
        <x:v>Portal Terreno</x:v>
      </x:c>
      <x:c r="B30" s="12" t="str">
        <x:v>Parcela urbana cercana al centro</x:v>
      </x:c>
      <x:c r="C30" s="12" t="str">
        <x:v>Parcela sola</x:v>
      </x:c>
      <x:c r="D30" s="14" t="n">
        <x:v>45000000</x:v>
      </x:c>
      <x:c r="E30" s="12" t="str">
        <x:v>CLP</x:v>
      </x:c>
      <x:c r="F30" s="16" t="n">
        <x:f>IF(E30="UF",D30*Resumen!$B$4,D30)</x:f>
        <x:v>45000000</x:v>
      </x:c>
      <x:c r="G30" s="18" t="n">
        <x:v>3000</x:v>
      </x:c>
      <x:c r="H30" s="18"/>
      <x:c r="I30" s="12"/>
      <x:c r="J30" s="12"/>
      <x:c r="K30" s="12" t="str">
        <x:v>No informado</x:v>
      </x:c>
      <x:c r="L30" s="12" t="str">
        <x:v>No informado</x:v>
      </x:c>
      <x:c r="M30" s="12" t="str">
        <x:v>No informado</x:v>
      </x:c>
      <x:c r="N30" s="12" t="str">
        <x:v>Quillón urbano</x:v>
      </x:c>
      <x:c r="O30" s="12" t="str">
        <x:v>Sí</x:v>
      </x:c>
      <x:c r="P30" s="12" t="str">
        <x:v>No</x:v>
      </x:c>
      <x:c r="Q30" s="12" t="str">
        <x:v>Atípico urbano; no usar para base rural</x:v>
      </x:c>
      <x:c r="R30" s="16" t="n">
        <x:f>IFERROR(F30/G30,"")</x:f>
        <x:v>15000</x:v>
      </x:c>
      <x:c r="S30" s="12" t="str">
        <x:v>https://portalterreno.cl/propiedad/6811-quillon</x:v>
      </x:c>
    </x:row>
    <x:row r="31">
      <x:c r="A31" s="12" t="str">
        <x:v>Yapo</x:v>
      </x:c>
      <x:c r="B31" s="12" t="str">
        <x:v>Parcela con casa, quincho y piscina</x:v>
      </x:c>
      <x:c r="C31" s="12" t="str">
        <x:v>Parcela + casa</x:v>
      </x:c>
      <x:c r="D31" s="14" t="n">
        <x:v>3407</x:v>
      </x:c>
      <x:c r="E31" s="12" t="str">
        <x:v>UF</x:v>
      </x:c>
      <x:c r="F31" s="16" t="n">
        <x:f>IF(E31="UF",D31*Resumen!$B$4,D31)</x:f>
        <x:v>139158199.53</x:v>
      </x:c>
      <x:c r="G31" s="18" t="n">
        <x:v>6400</x:v>
      </x:c>
      <x:c r="H31" s="18" t="n">
        <x:v>79</x:v>
      </x:c>
      <x:c r="I31" s="12" t="n">
        <x:v>3</x:v>
      </x:c>
      <x:c r="J31" s="12" t="n">
        <x:v>1</x:v>
      </x:c>
      <x:c r="K31" s="12" t="str">
        <x:v>Sí</x:v>
      </x:c>
      <x:c r="L31" s="12" t="str">
        <x:v>APR</x:v>
      </x:c>
      <x:c r="M31" s="12" t="str">
        <x:v>Sí</x:v>
      </x:c>
      <x:c r="N31" s="12" t="str">
        <x:v>Quillón</x:v>
      </x:c>
      <x:c r="O31" s="12" t="str">
        <x:v>Sí</x:v>
      </x:c>
      <x:c r="P31" s="12" t="str">
        <x:v>Sí</x:v>
      </x:c>
      <x:c r="Q31" s="12" t="str">
        <x:v>Quincho; jardín formado</x:v>
      </x:c>
      <x:c r="R31" s="16" t="n">
        <x:f>IFERROR(F31/G31,"")</x:f>
        <x:v>21743.4686765625</x:v>
      </x:c>
      <x:c r="S31" s="12" t="str">
        <x:v>https://www.yapo.cl/bienes-raices-venta-de-propiedades-lotes-y-terrenos/venta-parcela-en-quillon-con-piscina-y-jardin-formado/32209883</x:v>
      </x:c>
    </x:row>
    <x:row r="32">
      <x:c r="A32" s="12" t="str">
        <x:v>Yapo</x:v>
      </x:c>
      <x:c r="B32" s="12" t="str">
        <x:v>1 ha con 2 casas y piscina</x:v>
      </x:c>
      <x:c r="C32" s="12" t="str">
        <x:v>Parcela + casa</x:v>
      </x:c>
      <x:c r="D32" s="14" t="n">
        <x:v>250000000</x:v>
      </x:c>
      <x:c r="E32" s="12" t="str">
        <x:v>CLP</x:v>
      </x:c>
      <x:c r="F32" s="16" t="n">
        <x:f>IF(E32="UF",D32*Resumen!$B$4,D32)</x:f>
        <x:v>250000000</x:v>
      </x:c>
      <x:c r="G32" s="18" t="n">
        <x:v>10000</x:v>
      </x:c>
      <x:c r="H32" s="18" t="n">
        <x:v>202</x:v>
      </x:c>
      <x:c r="I32" s="12" t="n">
        <x:v>3</x:v>
      </x:c>
      <x:c r="J32" s="12" t="n">
        <x:v>1</x:v>
      </x:c>
      <x:c r="K32" s="12" t="str">
        <x:v>Sí</x:v>
      </x:c>
      <x:c r="L32" s="12" t="str">
        <x:v>2 punteras</x:v>
      </x:c>
      <x:c r="M32" s="12" t="str">
        <x:v>Sí</x:v>
      </x:c>
      <x:c r="N32" s="12" t="str">
        <x:v>A 6 min del centro</x:v>
      </x:c>
      <x:c r="O32" s="12" t="str">
        <x:v>Sí</x:v>
      </x:c>
      <x:c r="P32" s="12" t="str">
        <x:v>Sí</x:v>
      </x:c>
      <x:c r="Q32" s="12" t="str">
        <x:v>160m2 en proceso + casa 42m2; rol propio por regularizar</x:v>
      </x:c>
      <x:c r="R32" s="16" t="n">
        <x:f>IFERROR(F32/G32,"")</x:f>
        <x:v>25000</x:v>
      </x:c>
      <x:c r="S32" s="12" t="str">
        <x:v>https://www.yapo.cl/bienes-raices-venta-de-propiedades-lotes-y-terrenos/parcela-en-venta-en-quillon/32148005</x:v>
      </x:c>
    </x:row>
    <x:row r="33">
      <x:c r="A33" s="12" t="str">
        <x:v>Yapo</x:v>
      </x:c>
      <x:c r="B33" s="12" t="str">
        <x:v>Casa Condominio Laguna Avendaño</x:v>
      </x:c>
      <x:c r="C33" s="12" t="str">
        <x:v>Parcela + casa</x:v>
      </x:c>
      <x:c r="D33" s="14" t="n">
        <x:v>9400</x:v>
      </x:c>
      <x:c r="E33" s="12" t="str">
        <x:v>UF</x:v>
      </x:c>
      <x:c r="F33" s="16" t="n">
        <x:f>IF(E33="UF",D33*Resumen!$B$4,D33)</x:f>
        <x:v>383941026</x:v>
      </x:c>
      <x:c r="G33" s="18" t="n">
        <x:v>7200</x:v>
      </x:c>
      <x:c r="H33" s="18" t="n">
        <x:v>300</x:v>
      </x:c>
      <x:c r="I33" s="12" t="n">
        <x:v>4</x:v>
      </x:c>
      <x:c r="J33" s="12" t="n">
        <x:v>2</x:v>
      </x:c>
      <x:c r="K33" s="12" t="str">
        <x:v>Sí</x:v>
      </x:c>
      <x:c r="L33" s="12" t="str">
        <x:v>No informado</x:v>
      </x:c>
      <x:c r="M33" s="12" t="str">
        <x:v>No informado</x:v>
      </x:c>
      <x:c r="N33" s="12" t="str">
        <x:v>Laguna Avendaño</x:v>
      </x:c>
      <x:c r="O33" s="12" t="str">
        <x:v>Sí</x:v>
      </x:c>
      <x:c r="P33" s="12" t="str">
        <x:v>Sí</x:v>
      </x:c>
      <x:c r="Q33" s="12" t="str">
        <x:v>Acceso privado a laguna; amoblada</x:v>
      </x:c>
      <x:c r="R33" s="16" t="n">
        <x:f>IFERROR(F33/G33,"")</x:f>
        <x:v>53325.1425</x:v>
      </x:c>
      <x:c r="S33" s="12" t="str">
        <x:v>https://www.yapo.cl/bienes-raices-venta-de-propiedades-lotes-y-terrenos/parcela-en-venta-en-quillon/32224194</x:v>
      </x:c>
    </x:row>
    <x:row r="34">
      <x:c r="A34" s="12" t="str">
        <x:v>Yapo</x:v>
      </x:c>
      <x:c r="B34" s="12" t="str">
        <x:v>Parcela con casa y servicios</x:v>
      </x:c>
      <x:c r="C34" s="12" t="str">
        <x:v>Parcela + casa</x:v>
      </x:c>
      <x:c r="D34" s="14" t="n">
        <x:v>50000000</x:v>
      </x:c>
      <x:c r="E34" s="12" t="str">
        <x:v>CLP</x:v>
      </x:c>
      <x:c r="F34" s="16" t="n">
        <x:f>IF(E34="UF",D34*Resumen!$B$4,D34)</x:f>
        <x:v>50000000</x:v>
      </x:c>
      <x:c r="G34" s="18" t="n">
        <x:v>4750</x:v>
      </x:c>
      <x:c r="H34" s="18" t="n">
        <x:v>64</x:v>
      </x:c>
      <x:c r="I34" s="12" t="n">
        <x:v>2</x:v>
      </x:c>
      <x:c r="J34" s="12" t="n">
        <x:v>1</x:v>
      </x:c>
      <x:c r="K34" s="12" t="str">
        <x:v>No informado</x:v>
      </x:c>
      <x:c r="L34" s="12" t="str">
        <x:v>Pozo</x:v>
      </x:c>
      <x:c r="M34" s="12" t="str">
        <x:v>Sí</x:v>
      </x:c>
      <x:c r="N34" s="12" t="str">
        <x:v>A 30 min del pueblo</x:v>
      </x:c>
      <x:c r="O34" s="12" t="str">
        <x:v>Sí</x:v>
      </x:c>
      <x:c r="P34" s="12" t="str">
        <x:v>Sí</x:v>
      </x:c>
      <x:c r="Q34" s="12" t="str">
        <x:v>Dos parcelas/cesión de derechos; construcción 64m2</x:v>
      </x:c>
      <x:c r="R34" s="16" t="n">
        <x:f>IFERROR(F34/G34,"")</x:f>
        <x:v>10526.315789473685</x:v>
      </x:c>
      <x:c r="S34" s="12" t="str">
        <x:v>https://www.yapo.cl/bienes-raices-venta-de-propiedades-lotes-y-terrenos.354?q=keyword.parcela</x:v>
      </x:c>
    </x:row>
    <x:row r="35">
      <x:c r="A35" s="12" t="str">
        <x:v>Portal Inmobiliario</x:v>
      </x:c>
      <x:c r="B35" s="12" t="str">
        <x:v>Casa 340m2 nueva en parcela 5.000m2</x:v>
      </x:c>
      <x:c r="C35" s="12" t="str">
        <x:v>Parcela + casa</x:v>
      </x:c>
      <x:c r="D35" s="14" t="n">
        <x:v>290000000</x:v>
      </x:c>
      <x:c r="E35" s="12" t="str">
        <x:v>CLP</x:v>
      </x:c>
      <x:c r="F35" s="16" t="n">
        <x:f>IF(E35="UF",D35*Resumen!$B$4,D35)</x:f>
        <x:v>290000000</x:v>
      </x:c>
      <x:c r="G35" s="18" t="n">
        <x:v>5000</x:v>
      </x:c>
      <x:c r="H35" s="18" t="n">
        <x:v>340</x:v>
      </x:c>
      <x:c r="I35" s="12" t="n">
        <x:v>5</x:v>
      </x:c>
      <x:c r="J35" s="12" t="n">
        <x:v>3</x:v>
      </x:c>
      <x:c r="K35" s="12" t="str">
        <x:v>No informado</x:v>
      </x:c>
      <x:c r="L35" s="12" t="str">
        <x:v>No informado</x:v>
      </x:c>
      <x:c r="M35" s="12" t="str">
        <x:v>No informado</x:v>
      </x:c>
      <x:c r="N35" s="12" t="str">
        <x:v>Nueva Aldea / Quillón</x:v>
      </x:c>
      <x:c r="O35" s="12" t="str">
        <x:v>Sí</x:v>
      </x:c>
      <x:c r="P35" s="12" t="str">
        <x:v>Sí</x:v>
      </x:c>
      <x:c r="Q35" s="12" t="str">
        <x:v>Casa nueva</x:v>
      </x:c>
      <x:c r="R35" s="16" t="n">
        <x:f>IFERROR(F35/G35,"")</x:f>
        <x:v>58000</x:v>
      </x:c>
      <x:c r="S35" s="12" t="str">
        <x:v>https://www.portalinmobiliario.com/venta/parcela/quillon-nuble/_Desde_49_NoIndex_True</x:v>
      </x:c>
    </x:row>
    <x:row r="36">
      <x:c r="A36" s="12" t="str">
        <x:v>Portal Inmobiliario</x:v>
      </x:c>
      <x:c r="B36" s="12" t="str">
        <x:v>Parcela con amplia casa y piscina</x:v>
      </x:c>
      <x:c r="C36" s="12" t="str">
        <x:v>Parcela + casa</x:v>
      </x:c>
      <x:c r="D36" s="14" t="n">
        <x:v>6774</x:v>
      </x:c>
      <x:c r="E36" s="12" t="str">
        <x:v>UF</x:v>
      </x:c>
      <x:c r="F36" s="16" t="n">
        <x:f>IF(E36="UF",D36*Resumen!$B$4,D36)</x:f>
        <x:v>276682607.46</x:v>
      </x:c>
      <x:c r="G36" s="18" t="n">
        <x:v>5200</x:v>
      </x:c>
      <x:c r="H36" s="18"/>
      <x:c r="I36" s="12" t="n">
        <x:v>3</x:v>
      </x:c>
      <x:c r="J36" s="12" t="n">
        <x:v>3</x:v>
      </x:c>
      <x:c r="K36" s="12" t="str">
        <x:v>Sí</x:v>
      </x:c>
      <x:c r="L36" s="12" t="str">
        <x:v>No informado</x:v>
      </x:c>
      <x:c r="M36" s="12" t="str">
        <x:v>No informado</x:v>
      </x:c>
      <x:c r="N36" s="12" t="str">
        <x:v>Quillón</x:v>
      </x:c>
      <x:c r="O36" s="12" t="str">
        <x:v>Sí</x:v>
      </x:c>
      <x:c r="P36" s="12" t="str">
        <x:v>Sí</x:v>
      </x:c>
      <x:c r="Q36" s="12" t="str">
        <x:v>Superficie publicada 5.200m2; construida no visible en listado</x:v>
      </x:c>
      <x:c r="R36" s="16" t="n">
        <x:f>IFERROR(F36/G36,"")</x:f>
        <x:v>53208.19374230769</x:v>
      </x:c>
      <x:c r="S36" s="12" t="str">
        <x:v>https://www.portalinmobiliario.com/venta/parcela/quillon-nuble/_Desde_49_NoIndex_True</x:v>
      </x:c>
    </x:row>
    <x:row r="37">
      <x:c r="A37" s="12" t="str">
        <x:v>Portal Inmobiliario</x:v>
      </x:c>
      <x:c r="B37" s="12" t="str">
        <x:v>Casa con laguna 7.235m2</x:v>
      </x:c>
      <x:c r="C37" s="12" t="str">
        <x:v>Parcela + casa</x:v>
      </x:c>
      <x:c r="D37" s="14" t="n">
        <x:v>13150</x:v>
      </x:c>
      <x:c r="E37" s="12" t="str">
        <x:v>UF</x:v>
      </x:c>
      <x:c r="F37" s="16" t="n">
        <x:f>IF(E37="UF",D37*Resumen!$B$4,D37)</x:f>
        <x:v>537108988.5</x:v>
      </x:c>
      <x:c r="G37" s="18" t="n">
        <x:v>7235</x:v>
      </x:c>
      <x:c r="H37" s="18"/>
      <x:c r="I37" s="12" t="n">
        <x:v>5</x:v>
      </x:c>
      <x:c r="J37" s="12" t="n">
        <x:v>4</x:v>
      </x:c>
      <x:c r="K37" s="12" t="str">
        <x:v>No informado</x:v>
      </x:c>
      <x:c r="L37" s="12" t="str">
        <x:v>No informado</x:v>
      </x:c>
      <x:c r="M37" s="12" t="str">
        <x:v>No informado</x:v>
      </x:c>
      <x:c r="N37" s="12" t="str">
        <x:v>Quillón</x:v>
      </x:c>
      <x:c r="O37" s="12" t="str">
        <x:v>Sí</x:v>
      </x:c>
      <x:c r="P37" s="12" t="str">
        <x:v>Sí</x:v>
      </x:c>
      <x:c r="Q37" s="12" t="str">
        <x:v>Acceso/entorno laguna según título</x:v>
      </x:c>
      <x:c r="R37" s="16" t="n">
        <x:f>IFERROR(F37/G37,"")</x:f>
        <x:v>74237.59343469246</x:v>
      </x:c>
      <x:c r="S37" s="12" t="str">
        <x:v>https://www.portalinmobiliario.com/venta/parcela/quillon-nuble/_Desde_49_NoIndex_True</x:v>
      </x:c>
    </x:row>
    <x:row r="38">
      <x:c r="A38" s="12" t="str">
        <x:v>Portal Terreno</x:v>
      </x:c>
      <x:c r="B38" s="12" t="str">
        <x:v>Parcela de agrado con casa</x:v>
      </x:c>
      <x:c r="C38" s="12" t="str">
        <x:v>Parcela + casa</x:v>
      </x:c>
      <x:c r="D38" s="14" t="n">
        <x:v>220000000</x:v>
      </x:c>
      <x:c r="E38" s="12" t="str">
        <x:v>CLP</x:v>
      </x:c>
      <x:c r="F38" s="16" t="n">
        <x:f>IF(E38="UF",D38*Resumen!$B$4,D38)</x:f>
        <x:v>220000000</x:v>
      </x:c>
      <x:c r="G38" s="18" t="n">
        <x:v>19800</x:v>
      </x:c>
      <x:c r="H38" s="18" t="n">
        <x:v>280</x:v>
      </x:c>
      <x:c r="I38" s="12" t="n">
        <x:v>4</x:v>
      </x:c>
      <x:c r="J38" s="12" t="n">
        <x:v>2</x:v>
      </x:c>
      <x:c r="K38" s="12" t="str">
        <x:v>Sí</x:v>
      </x:c>
      <x:c r="L38" s="12" t="str">
        <x:v>No informado</x:v>
      </x:c>
      <x:c r="M38" s="12" t="str">
        <x:v>No informado</x:v>
      </x:c>
      <x:c r="N38" s="12" t="str">
        <x:v>A 500m calle principal Quillón</x:v>
      </x:c>
      <x:c r="O38" s="12" t="str">
        <x:v>Sí</x:v>
      </x:c>
      <x:c r="P38" s="12" t="str">
        <x:v>Sí</x:v>
      </x:c>
      <x:c r="Q38" s="12" t="str">
        <x:v>4 estacionamientos, bodega</x:v>
      </x:c>
      <x:c r="R38" s="16" t="n">
        <x:f>IFERROR(F38/G38,"")</x:f>
        <x:v>11111.111111111111</x:v>
      </x:c>
      <x:c r="S38" s="12" t="str">
        <x:v>https://portalterreno.cl/propiedad/17158-terreno-en-venta-en-quillon</x:v>
      </x:c>
    </x:row>
    <x:row r="39">
      <x:c r="A39" s="12" t="str">
        <x:v>Portal Terreno</x:v>
      </x:c>
      <x:c r="B39" s="12" t="str">
        <x:v>Casa full, quincho y piscina regularizada</x:v>
      </x:c>
      <x:c r="C39" s="12" t="str">
        <x:v>Parcela + casa</x:v>
      </x:c>
      <x:c r="D39" s="14" t="n">
        <x:v>3710</x:v>
      </x:c>
      <x:c r="E39" s="12" t="str">
        <x:v>UF</x:v>
      </x:c>
      <x:c r="F39" s="16" t="n">
        <x:f>IF(E39="UF",D39*Resumen!$B$4,D39)</x:f>
        <x:v>151534170.9</x:v>
      </x:c>
      <x:c r="G39" s="18" t="n">
        <x:v>5100</x:v>
      </x:c>
      <x:c r="H39" s="18" t="n">
        <x:v>205</x:v>
      </x:c>
      <x:c r="I39" s="12" t="n">
        <x:v>4</x:v>
      </x:c>
      <x:c r="J39" s="12" t="n">
        <x:v>3</x:v>
      </x:c>
      <x:c r="K39" s="12" t="str">
        <x:v>Sí</x:v>
      </x:c>
      <x:c r="L39" s="12" t="str">
        <x:v>2 punteras inscritas</x:v>
      </x:c>
      <x:c r="M39" s="12" t="str">
        <x:v>Sí</x:v>
      </x:c>
      <x:c r="N39" s="12" t="str">
        <x:v>Condominio Ecológico Libuy</x:v>
      </x:c>
      <x:c r="O39" s="12" t="str">
        <x:v>Sí</x:v>
      </x:c>
      <x:c r="P39" s="12" t="str">
        <x:v>Sí</x:v>
      </x:c>
      <x:c r="Q39" s="12" t="str">
        <x:v>170m2 casa + 35m2 quincho; full equipada</x:v>
      </x:c>
      <x:c r="R39" s="16" t="n">
        <x:f>IFERROR(F39/G39,"")</x:f>
        <x:v>29712.582529411768</x:v>
      </x:c>
      <x:c r="S39" s="12" t="str">
        <x:v>https://portalterreno.cl/propiedad/24058-terreno-en-venta-en-quillon</x:v>
      </x:c>
    </x:row>
  </x:sheetData>
  <x:conditionalFormatting sqref="P2:P39">
    <x:cfRule type="expression" dxfId="0" priority="1">
      <x:formula>P2="No"</x:formula>
    </x:cfRule>
    <x:cfRule type="expression" dxfId="1" priority="2">
      <x:formula>P2="Sí"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53836cfbe049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8" t="str">
        <x:v>Quillón — referencia de mercado para Tasador TPL</x:v>
      </x:c>
      <x:c r="B1" s="38"/>
      <x:c r="C1" s="38"/>
      <x:c r="D1" s="38"/>
      <x:c r="E1" s="38"/>
      <x:c r="F1" s="38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6" t="str">
        <x:v>Parámetro</x:v>
      </x:c>
      <x:c r="B3" s="6" t="str">
        <x:v>Valor</x:v>
      </x:c>
      <x:c r="C3" s="12"/>
      <x:c r="D3" s="12"/>
      <x:c r="E3" s="12"/>
      <x:c r="F3" s="12"/>
      <x:c r="G3" s="12"/>
      <x:c r="H3" s="12"/>
    </x:row>
    <x:row r="4">
      <x:c r="A4" s="12" t="str">
        <x:v>UF usada (29-07-2026)</x:v>
      </x:c>
      <x:c r="B4" s="39" t="n">
        <x:v>40844.79</x:v>
      </x:c>
      <x:c r="C4" s="12"/>
      <x:c r="D4" s="12"/>
      <x:c r="E4" s="12"/>
      <x:c r="F4" s="12"/>
      <x:c r="G4" s="12"/>
      <x:c r="H4" s="12"/>
    </x:row>
    <x:row r="5">
      <x:c r="A5" s="12" t="str">
        <x:v>Comuna</x:v>
      </x:c>
      <x:c r="B5" s="12" t="str">
        <x:v>Quillón</x:v>
      </x:c>
      <x:c r="C5" s="12"/>
      <x:c r="D5" s="12"/>
      <x:c r="E5" s="12"/>
      <x:c r="F5" s="12"/>
      <x:c r="G5" s="12"/>
      <x:c r="H5" s="12"/>
    </x:row>
    <x:row r="6">
      <x:c r="A6" s="12" t="str">
        <x:v>Región</x:v>
      </x:c>
      <x:c r="B6" s="12" t="str">
        <x:v>Ñuble</x:v>
      </x:c>
      <x:c r="C6" s="12"/>
      <x:c r="D6" s="12"/>
      <x:c r="E6" s="12"/>
      <x:c r="F6" s="12"/>
      <x:c r="G6" s="12"/>
      <x:c r="H6" s="12"/>
    </x:row>
    <x:row r="7">
      <x:c r="A7" s="12" t="str">
        <x:v>Fecha análisis</x:v>
      </x:c>
      <x:c r="B7" s="12" t="str">
        <x:v>2026-07-29</x:v>
      </x:c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6" t="str">
        <x:v>Segmento</x:v>
      </x:c>
      <x:c r="B10" s="6" t="str">
        <x:v>N incluidos</x:v>
      </x:c>
      <x:c r="C10" s="6" t="str">
        <x:v>Precio mediano</x:v>
      </x:c>
      <x:c r="D10" s="6" t="str">
        <x:v>Terreno mediano m²</x:v>
      </x:c>
      <x:c r="E10" s="6" t="str">
        <x:v>$/m² mediano</x:v>
      </x:c>
      <x:c r="F10" s="6" t="str">
        <x:v>$/m² promedio</x:v>
      </x:c>
      <x:c r="G10" s="6" t="str">
        <x:v>P25 $/m²</x:v>
      </x:c>
      <x:c r="H10" s="6" t="str">
        <x:v>P75 $/m²</x:v>
      </x:c>
    </x:row>
    <x:row r="11">
      <x:c r="A11" s="12" t="str">
        <x:v>Parcela sola (referencia limpia 2026)</x:v>
      </x:c>
      <x:c r="B11" s="12" t="n">
        <x:f>COUNTIFS('Muestra Quillón'!C2:C39,"Parcela sola",'Muestra Quillón'!P2:P39,"Sí")</x:f>
        <x:v>22</x:v>
      </x:c>
      <x:c r="C11" s="16" t="n">
        <x:f>MEDIAN(FILTER('Muestra Quillón'!F2:F39,('Muestra Quillón'!C2:C39="Parcela sola")*('Muestra Quillón'!P2:P39="Sí")))</x:f>
        <x:v>30995000</x:v>
      </x:c>
      <x:c r="D11" s="18" t="n">
        <x:f>MEDIAN(FILTER('Muestra Quillón'!G2:G39,('Muestra Quillón'!C2:C39="Parcela sola")*('Muestra Quillón'!P2:P39="Sí")))</x:f>
        <x:v>5000</x:v>
      </x:c>
      <x:c r="E11" s="16" t="n">
        <x:f>MEDIAN(FILTER('Muestra Quillón'!R2:R39,('Muestra Quillón'!C2:C39="Parcela sola")*('Muestra Quillón'!P2:P39="Sí")))</x:f>
        <x:v>4800</x:v>
      </x:c>
      <x:c r="F11" s="16" t="n">
        <x:f>AVERAGE(FILTER('Muestra Quillón'!R2:R39,('Muestra Quillón'!C2:C39="Parcela sola")*('Muestra Quillón'!P2:P39="Sí")))</x:f>
        <x:v>5210.698152976382</x:v>
      </x:c>
      <x:c r="G11" s="16" t="n">
        <x:f>QUARTILE.INC(FILTER('Muestra Quillón'!R2:R39,('Muestra Quillón'!C2:C39="Parcela sola")*('Muestra Quillón'!P2:P39="Sí")),1)</x:f>
        <x:v>3625.9259259259265</x:v>
      </x:c>
      <x:c r="H11" s="16" t="n">
        <x:f>QUARTILE.INC(FILTER('Muestra Quillón'!R2:R39,('Muestra Quillón'!C2:C39="Parcela sola")*('Muestra Quillón'!P2:P39="Sí")),3)</x:f>
        <x:v>5927.5254105</x:v>
      </x:c>
    </x:row>
    <x:row r="12">
      <x:c r="A12" s="12" t="str">
        <x:v>Parcela + casa</x:v>
      </x:c>
      <x:c r="B12" s="12" t="n">
        <x:f>COUNTIFS('Muestra Quillón'!C2:C39,"Parcela + casa",'Muestra Quillón'!P2:P39,"Sí")</x:f>
        <x:v>9</x:v>
      </x:c>
      <x:c r="C12" s="16" t="n">
        <x:f>MEDIAN(FILTER('Muestra Quillón'!F2:F39,('Muestra Quillón'!C2:C39="Parcela + casa")*('Muestra Quillón'!P2:P39="Sí")))</x:f>
        <x:v>250000000</x:v>
      </x:c>
      <x:c r="D12" s="18" t="n">
        <x:f>MEDIAN(FILTER('Muestra Quillón'!G2:G39,('Muestra Quillón'!C2:C39="Parcela + casa")*('Muestra Quillón'!P2:P39="Sí")))</x:f>
        <x:v>6400</x:v>
      </x:c>
      <x:c r="E12" s="16" t="n">
        <x:f>MEDIAN(FILTER('Muestra Quillón'!R2:R39,('Muestra Quillón'!C2:C39="Parcela + casa")*('Muestra Quillón'!P2:P39="Sí")))</x:f>
        <x:v>29712.582529411768</x:v>
      </x:c>
      <x:c r="F12" s="16" t="n">
        <x:f>AVERAGE(FILTER('Muestra Quillón'!R2:R39,('Muestra Quillón'!C2:C39="Parcela + casa")*('Muestra Quillón'!P2:P39="Sí")))</x:f>
        <x:v>37429.378642617696</x:v>
      </x:c>
      <x:c r="G12" s="16" t="n">
        <x:f>QUARTILE.INC(FILTER('Muestra Quillón'!R2:R39,('Muestra Quillón'!C2:C39="Parcela + casa")*('Muestra Quillón'!P2:P39="Sí")),1)</x:f>
        <x:v>21743.4686765625</x:v>
      </x:c>
      <x:c r="H12" s="16" t="n">
        <x:f>QUARTILE.INC(FILTER('Muestra Quillón'!R2:R39,('Muestra Quillón'!C2:C39="Parcela + casa")*('Muestra Quillón'!P2:P39="Sí")),3)</x:f>
        <x:v>53325.1425</x:v>
      </x:c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6" t="str">
        <x:v>Uso recomendado en Tasador TPL</x:v>
      </x:c>
      <x:c r="B15" s="6" t="str">
        <x:v>Valor / regla</x:v>
      </x:c>
      <x:c r="C15" s="6" t="str">
        <x:v>Motivo</x:v>
      </x:c>
      <x:c r="D15" s="6" t="str"/>
      <x:c r="E15" s="6" t="str"/>
      <x:c r="F15" s="6" t="str"/>
      <x:c r="G15" s="12"/>
      <x:c r="H15" s="12"/>
    </x:row>
    <x:row r="16">
      <x:c r="A16" s="12" t="str">
        <x:v>Referencia comunal principal</x:v>
      </x:c>
      <x:c r="B16" s="12" t="str">
        <x:v>Usar mediana $/m² de parcela sola limpia</x:v>
      </x:c>
      <x:c r="C16" s="12" t="str">
        <x:v>Más robusta que el promedio frente a avisos premium o atípicos</x:v>
      </x:c>
      <x:c r="D16" s="12"/>
      <x:c r="E16" s="12"/>
      <x:c r="F16" s="12"/>
      <x:c r="G16" s="12"/>
      <x:c r="H16" s="12"/>
    </x:row>
    <x:row r="17">
      <x:c r="A17" s="12" t="str">
        <x:v>Rango normal</x:v>
      </x:c>
      <x:c r="B17" s="12" t="str">
        <x:v>Usar P25–P75</x:v>
      </x:c>
      <x:c r="C17" s="12" t="str">
        <x:v>Sirve para confianza y alertas de resultado fuera de mercado</x:v>
      </x:c>
      <x:c r="D17" s="12"/>
      <x:c r="E17" s="12"/>
      <x:c r="F17" s="12"/>
      <x:c r="G17" s="12"/>
      <x:c r="H17" s="12"/>
    </x:row>
    <x:row r="18">
      <x:c r="A18" s="12" t="str">
        <x:v>Laguna Avendaño / microzona premium</x:v>
      </x:c>
      <x:c r="B18" s="12" t="str">
        <x:v>No mezclar con promedio rural</x:v>
      </x:c>
      <x:c r="C18" s="12" t="str">
        <x:v>Debe tratarse como microzona con ajuste propio</x:v>
      </x:c>
      <x:c r="D18" s="12"/>
      <x:c r="E18" s="12"/>
      <x:c r="F18" s="12"/>
      <x:c r="G18" s="12"/>
      <x:c r="H18" s="12"/>
    </x:row>
    <x:row r="19">
      <x:c r="A19" s="12" t="str">
        <x:v>Parcela + casa</x:v>
      </x:c>
      <x:c r="B19" s="12" t="str">
        <x:v>Modelo separado</x:v>
      </x:c>
      <x:c r="C19" s="12" t="str">
        <x:v>No usar su $/m² de terreno como base del suelo; contiene valor de construcción/equipamiento</x:v>
      </x:c>
      <x:c r="D19" s="12"/>
      <x:c r="E19" s="12"/>
      <x:c r="F19" s="12"/>
      <x:c r="G19" s="12"/>
      <x:c r="H19" s="12"/>
    </x:row>
    <x:row r="20">
      <x:c r="A20" s="12" t="str">
        <x:v>Avisos antiguos / inactivos</x:v>
      </x:c>
      <x:c r="B20" s="12" t="str">
        <x:v>Excluir de referencia vigente</x:v>
      </x:c>
      <x:c r="C20" s="12" t="str">
        <x:v>Conservar para tendencia histórica</x:v>
      </x:c>
      <x:c r="D20" s="12"/>
      <x:c r="E20" s="12"/>
      <x:c r="F20" s="12"/>
      <x:c r="G20" s="12"/>
      <x:c r="H20" s="12"/>
    </x:row>
    <x:row r="21">
      <x:c r="A21" s="12" t="str">
        <x:v>Duplicados entre portales</x:v>
      </x:c>
      <x:c r="B21" s="12" t="str">
        <x:v>Contar una sola vez</x:v>
      </x:c>
      <x:c r="C21" s="12" t="str">
        <x:v>Evita sesgo por republicación del mismo inmueble</x:v>
      </x:c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6" t="str">
        <x:v>Metodología y limitaciones — Quillón</x:v>
      </x:c>
      <x:c r="B1" s="36"/>
      <x:c r="C1" s="33"/>
      <x:c r="D1" s="33"/>
    </x:row>
    <x:row r="3">
      <x:c r="A3" s="6" t="str">
        <x:v>Criterio</x:v>
      </x:c>
      <x:c r="B3" s="6" t="str">
        <x:v>Aplicación</x:v>
      </x:c>
    </x:row>
    <x:row r="4">
      <x:c r="A4" t="str">
        <x:v>Objetivo</x:v>
      </x:c>
      <x:c r="B4" t="str">
        <x:v>Crear una referencia de mercado reutilizable para el Tasador TPL, separando terreno puro y parcela con vivienda.</x:v>
      </x:c>
    </x:row>
    <x:row r="5">
      <x:c r="A5" t="str">
        <x:v>Fuentes</x:v>
      </x:c>
      <x:c r="B5" t="str">
        <x:v>Portal Inmobiliario, Yapo y Portal Terreno, consultados el 29-07-2026.</x:v>
      </x:c>
    </x:row>
    <x:row r="6">
      <x:c r="A6" t="str">
        <x:v>Conversión UF</x:v>
      </x:c>
      <x:c r="B6" t="str">
        <x:v>UF = $40,844.79 CLP según SII para 29-07-2026.</x:v>
      </x:c>
    </x:row>
    <x:row r="7">
      <x:c r="A7" t="str">
        <x:v>Unidad principal</x:v>
      </x:c>
      <x:c r="B7" t="str">
        <x:v>Precio publicado / superficie total de terreno.</x:v>
      </x:c>
    </x:row>
    <x:row r="8">
      <x:c r="A8" t="str">
        <x:v>Parcela sola</x:v>
      </x:c>
      <x:c r="B8" t="str">
        <x:v>Avisos sin vivienda relevante; campos/casos grandes se conservan pero deben segmentarse por superficie.</x:v>
      </x:c>
    </x:row>
    <x:row r="9">
      <x:c r="A9" t="str">
        <x:v>Parcela + casa</x:v>
      </x:c>
      <x:c r="B9" t="str">
        <x:v>Se guardan terreno, construcción, dormitorios, baños, piscina, agua, electricidad y atributos visibles.</x:v>
      </x:c>
    </x:row>
    <x:row r="10">
      <x:c r="A10" t="str">
        <x:v>Duplicados</x:v>
      </x:c>
      <x:c r="B10" t="str">
        <x:v>Se marcan y excluyen de la referencia cuando el mismo aviso aparece replicado en más de un portal.</x:v>
      </x:c>
    </x:row>
    <x:row r="11">
      <x:c r="A11" t="str">
        <x:v>Históricos</x:v>
      </x:c>
      <x:c r="B11" t="str">
        <x:v>Avisos 2023–2024 se conservan, pero no entran en la referencia vigente 2026.</x:v>
      </x:c>
    </x:row>
    <x:row r="12">
      <x:c r="A12" t="str">
        <x:v>Atípicos</x:v>
      </x:c>
      <x:c r="B12" t="str">
        <x:v>Terrenos urbanos, centro, accesos a laguna y propiedades muy equipadas se conservan como microzonas/segmentos; no se mezclan con rural estándar.</x:v>
      </x:c>
    </x:row>
    <x:row r="13">
      <x:c r="A13" t="str">
        <x:v>Precisión</x:v>
      </x:c>
      <x:c r="B13" t="str">
        <x:v>Los portales pueden contener errores de superficie o campos mal cargados. Se prioriza el texto del anuncio cuando contradice un campo obviamente erróneo.</x:v>
      </x:c>
    </x:row>
    <x:row r="14">
      <x:c r="A14" t="str">
        <x:v>Cobertura</x:v>
      </x:c>
      <x:c r="B14" t="str">
        <x:v>La hoja es una muestra depurada de avisos accesibles; no representa una descarga exhaustiva de los 94/97 resultados del Portal Inmobiliario ni todos los resultados de Yapo.</x:v>
      </x:c>
    </x:row>
  </x:sheetData>
  <x:mergeCells>
    <x:mergeCell ref="A1:D1"/>
  </x:mergeCells>
  <x:pageMargins left="0.7" right="0.7" top="0.75" bottom="0.75" header="0.3" footer="0.3"/>
</x:worksheet>
</file>